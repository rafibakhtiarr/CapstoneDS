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netapp1\homes\ramos\Profile\Eigene Dateien\"/>
    </mc:Choice>
  </mc:AlternateContent>
  <bookViews>
    <workbookView xWindow="0" yWindow="0" windowWidth="27870" windowHeight="14415" activeTab="4"/>
  </bookViews>
  <sheets>
    <sheet name="General" sheetId="2" r:id="rId1"/>
    <sheet name="litter_sand" sheetId="1" r:id="rId2"/>
    <sheet name="litter_underwater" sheetId="5" r:id="rId3"/>
    <sheet name="brand_audit" sheetId="3" r:id="rId4"/>
    <sheet name="UNEP_cat" sheetId="4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36" i="1" l="1"/>
  <c r="BH35" i="1"/>
  <c r="N37" i="1"/>
  <c r="N35" i="1"/>
</calcChain>
</file>

<file path=xl/sharedStrings.xml><?xml version="1.0" encoding="utf-8"?>
<sst xmlns="http://schemas.openxmlformats.org/spreadsheetml/2006/main" count="1400" uniqueCount="354">
  <si>
    <t>ID</t>
  </si>
  <si>
    <t>beach</t>
  </si>
  <si>
    <t>transect</t>
  </si>
  <si>
    <t>area_m2</t>
  </si>
  <si>
    <t>CL01</t>
  </si>
  <si>
    <t>CL02</t>
  </si>
  <si>
    <t>CL03</t>
  </si>
  <si>
    <t>CL04</t>
  </si>
  <si>
    <t>CL05</t>
  </si>
  <si>
    <t>CL06</t>
  </si>
  <si>
    <t>FP01</t>
  </si>
  <si>
    <t>FP02</t>
  </si>
  <si>
    <t>FP03</t>
  </si>
  <si>
    <t>FP04</t>
  </si>
  <si>
    <t>FP05</t>
  </si>
  <si>
    <t>GC01</t>
  </si>
  <si>
    <t>GC02</t>
  </si>
  <si>
    <t>GC03</t>
  </si>
  <si>
    <t>GC04</t>
  </si>
  <si>
    <t>GC05</t>
  </si>
  <si>
    <t>GC06</t>
  </si>
  <si>
    <t>GC07</t>
  </si>
  <si>
    <t>GC08</t>
  </si>
  <si>
    <t>ME01</t>
  </si>
  <si>
    <t>ME02</t>
  </si>
  <si>
    <t>ME03</t>
  </si>
  <si>
    <t>ME04</t>
  </si>
  <si>
    <t>ME05</t>
  </si>
  <si>
    <t>ME06</t>
  </si>
  <si>
    <t>ME07</t>
  </si>
  <si>
    <t>ME08</t>
  </si>
  <si>
    <t>ME09</t>
  </si>
  <si>
    <t>ME10</t>
  </si>
  <si>
    <t>OT01</t>
  </si>
  <si>
    <t>OT02</t>
  </si>
  <si>
    <t>OT03</t>
  </si>
  <si>
    <t>OT04</t>
  </si>
  <si>
    <t>OT05</t>
  </si>
  <si>
    <t>OT05.1</t>
  </si>
  <si>
    <t>OT05.2</t>
  </si>
  <si>
    <t>OT05.3</t>
  </si>
  <si>
    <t>PC01</t>
  </si>
  <si>
    <t>PC02</t>
  </si>
  <si>
    <t>PC03</t>
  </si>
  <si>
    <t>PC04</t>
  </si>
  <si>
    <t>PC05</t>
  </si>
  <si>
    <t>PL01</t>
  </si>
  <si>
    <t>PL02</t>
  </si>
  <si>
    <t>PL03</t>
  </si>
  <si>
    <t>PL04</t>
  </si>
  <si>
    <t>PL05</t>
  </si>
  <si>
    <t>PL06</t>
  </si>
  <si>
    <t>PL07</t>
  </si>
  <si>
    <t>PL08</t>
  </si>
  <si>
    <t>PL09</t>
  </si>
  <si>
    <t>PL10</t>
  </si>
  <si>
    <t>PL11</t>
  </si>
  <si>
    <t>PL12</t>
  </si>
  <si>
    <t>PL13</t>
  </si>
  <si>
    <t>PL14</t>
  </si>
  <si>
    <t>PL15</t>
  </si>
  <si>
    <t>PL16</t>
  </si>
  <si>
    <t>PL17</t>
  </si>
  <si>
    <t>PL18</t>
  </si>
  <si>
    <t>PL19</t>
  </si>
  <si>
    <t>PL20</t>
  </si>
  <si>
    <t>PL21</t>
  </si>
  <si>
    <t>PL22</t>
  </si>
  <si>
    <t>PL23</t>
  </si>
  <si>
    <t>PL24</t>
  </si>
  <si>
    <t>PL24.1</t>
  </si>
  <si>
    <t>PL24.2</t>
  </si>
  <si>
    <t>PL24.3</t>
  </si>
  <si>
    <t>PL24.4</t>
  </si>
  <si>
    <t>PL24.6</t>
  </si>
  <si>
    <t>PL24.7</t>
  </si>
  <si>
    <t>PL25</t>
  </si>
  <si>
    <t>RB01</t>
  </si>
  <si>
    <t>RB02</t>
  </si>
  <si>
    <t>RB03</t>
  </si>
  <si>
    <t>RB04</t>
  </si>
  <si>
    <t>RB05</t>
  </si>
  <si>
    <t>RB06</t>
  </si>
  <si>
    <t>RB07</t>
  </si>
  <si>
    <t>RB08</t>
  </si>
  <si>
    <t>WD01</t>
  </si>
  <si>
    <t>WD02</t>
  </si>
  <si>
    <t>WD03</t>
  </si>
  <si>
    <t>WD04</t>
  </si>
  <si>
    <t>WD05</t>
  </si>
  <si>
    <t>WD06</t>
  </si>
  <si>
    <t>F01.1</t>
  </si>
  <si>
    <t>Forte</t>
  </si>
  <si>
    <t>T1</t>
  </si>
  <si>
    <t>F01.2</t>
  </si>
  <si>
    <t>T2</t>
  </si>
  <si>
    <t>F01.3</t>
  </si>
  <si>
    <t>T3</t>
  </si>
  <si>
    <t>S01.1</t>
  </si>
  <si>
    <t>Sos</t>
  </si>
  <si>
    <t>S01.2</t>
  </si>
  <si>
    <t>S01.3</t>
  </si>
  <si>
    <t>J01.1</t>
  </si>
  <si>
    <t>Jagua</t>
  </si>
  <si>
    <t>J01.2</t>
  </si>
  <si>
    <t>J01.3</t>
  </si>
  <si>
    <t>F02.1</t>
  </si>
  <si>
    <t>F02.2</t>
  </si>
  <si>
    <t>F02.3</t>
  </si>
  <si>
    <t>J02.1</t>
  </si>
  <si>
    <t>J02.2</t>
  </si>
  <si>
    <t>J02.3</t>
  </si>
  <si>
    <t>S02.1</t>
  </si>
  <si>
    <t>S02.2</t>
  </si>
  <si>
    <t>S02.3</t>
  </si>
  <si>
    <t>S03.1</t>
  </si>
  <si>
    <t>S03.2</t>
  </si>
  <si>
    <t>S03.3</t>
  </si>
  <si>
    <t>J03.1</t>
  </si>
  <si>
    <t>J03.2</t>
  </si>
  <si>
    <t>F03.1</t>
  </si>
  <si>
    <t>F03.2</t>
  </si>
  <si>
    <t>F03.3</t>
  </si>
  <si>
    <t>J03.3</t>
  </si>
  <si>
    <t>S04.1</t>
  </si>
  <si>
    <t>S04.2</t>
  </si>
  <si>
    <t>S04.3</t>
  </si>
  <si>
    <t>J04.1</t>
  </si>
  <si>
    <t>J04.2</t>
  </si>
  <si>
    <t>J04.3</t>
  </si>
  <si>
    <t>F04.1</t>
  </si>
  <si>
    <t>F04.2</t>
  </si>
  <si>
    <t>F04.3</t>
  </si>
  <si>
    <t>PL02.1</t>
  </si>
  <si>
    <t>weight_g</t>
  </si>
  <si>
    <t>UNEP_code</t>
  </si>
  <si>
    <t>description</t>
  </si>
  <si>
    <t>Clothing, shoes, hats &amp; towels</t>
  </si>
  <si>
    <t>Backpacks &amp; bags</t>
  </si>
  <si>
    <t>Canvas, sailcloth &amp; sacking (hessian)</t>
  </si>
  <si>
    <t>Rope &amp; string</t>
  </si>
  <si>
    <t>Carpet &amp; furnishing</t>
  </si>
  <si>
    <t>Other cloth (including rags)</t>
  </si>
  <si>
    <t>Foam sponge</t>
  </si>
  <si>
    <t>Cups &amp; food packs</t>
  </si>
  <si>
    <t>Foam buoys</t>
  </si>
  <si>
    <t>Foam (insulation &amp; packaging)</t>
  </si>
  <si>
    <t>Construction material (brick, cement, pipes)</t>
  </si>
  <si>
    <t>Bottles &amp; jars</t>
  </si>
  <si>
    <t>Tableware (plates &amp; cups)</t>
  </si>
  <si>
    <t>Light globes/bulbs</t>
  </si>
  <si>
    <t>Fluorescent light tubes</t>
  </si>
  <si>
    <t>Glass buoys</t>
  </si>
  <si>
    <t>Glass or ceramic fragments</t>
  </si>
  <si>
    <t>Other (specify)</t>
  </si>
  <si>
    <t>Tableware (plates, cups &amp; cutlery)</t>
  </si>
  <si>
    <t>Bottle caps, lids &amp; pull tabs</t>
  </si>
  <si>
    <t>Aluminium drink cans</t>
  </si>
  <si>
    <t>Other cans (&lt; 4 L)</t>
  </si>
  <si>
    <t>Gas bottles, drums &amp; buckets ( &gt; 4 L)</t>
  </si>
  <si>
    <t>Foil wrappers</t>
  </si>
  <si>
    <t>Fishing related (sinkers, lures, hooks, traps &amp; pots)</t>
  </si>
  <si>
    <t>Fragments</t>
  </si>
  <si>
    <t>Wire, wire mesh &amp; barbed wire</t>
  </si>
  <si>
    <t>Other (specify), including appliances</t>
  </si>
  <si>
    <t>Paraffin or wax</t>
  </si>
  <si>
    <t>Sanitary (nappies, cotton buds, tampon applicators, toothbrushes)</t>
  </si>
  <si>
    <t>Appliances &amp; Electronics</t>
  </si>
  <si>
    <t>Batteries (torch type)</t>
  </si>
  <si>
    <t>Other (burned)</t>
  </si>
  <si>
    <t>Other (saco rafia)</t>
  </si>
  <si>
    <t>Other (tarballs)</t>
  </si>
  <si>
    <t>Paper (including newspapers &amp; magazines)</t>
  </si>
  <si>
    <t>Cardboard boxes &amp; fragments</t>
  </si>
  <si>
    <t>Cups, food trays, food wrappers, cigarette packs, drink containers</t>
  </si>
  <si>
    <t>Tubes for fireworks</t>
  </si>
  <si>
    <t>Bottle caps &amp; lids</t>
  </si>
  <si>
    <t>Bottles &lt; 2 L</t>
  </si>
  <si>
    <t>Bottles &lt; 2 L; international</t>
  </si>
  <si>
    <t>Bottles, drums, jerrycans &amp; buckets &gt; 2 L</t>
  </si>
  <si>
    <t>Drink package rings, six-pack rings, ring carriers</t>
  </si>
  <si>
    <t>Food containers (fast food, cups, lunch boxes &amp; similar)</t>
  </si>
  <si>
    <t>Plastic bags (opaque &amp; clear)</t>
  </si>
  <si>
    <t>Toys &amp; party poppers</t>
  </si>
  <si>
    <t>Gloves</t>
  </si>
  <si>
    <t>Cigarette lighters</t>
  </si>
  <si>
    <t>Cigarettes, butts &amp; filters</t>
  </si>
  <si>
    <t>Syringes</t>
  </si>
  <si>
    <t>Baskets, crates &amp; trays</t>
  </si>
  <si>
    <t>Plastic buoys</t>
  </si>
  <si>
    <t>Mesh bags (vegetable, oyster nets &amp; mussel bags)</t>
  </si>
  <si>
    <t>Sheeting (tarpaulin or other woven plastic bags, palette wrap)</t>
  </si>
  <si>
    <t>Fishing gear (lures, traps &amp; pots)</t>
  </si>
  <si>
    <t>Monofilament line</t>
  </si>
  <si>
    <t>Rope</t>
  </si>
  <si>
    <t>Fishing net</t>
  </si>
  <si>
    <t>Strapping</t>
  </si>
  <si>
    <t>Fibreglass fragments</t>
  </si>
  <si>
    <t>Resin pellets</t>
  </si>
  <si>
    <t>Other (unknow)</t>
  </si>
  <si>
    <t>Other (COVID)</t>
  </si>
  <si>
    <t>Other (cleaning product packaging)</t>
  </si>
  <si>
    <t>Other (Hard fragment)</t>
  </si>
  <si>
    <t>Other (Soft fragment)</t>
  </si>
  <si>
    <t>Other (pen)</t>
  </si>
  <si>
    <t>Other (construction)</t>
  </si>
  <si>
    <t>International (bottle)</t>
  </si>
  <si>
    <t>Balloons, balls &amp; toys</t>
  </si>
  <si>
    <t>Footwear (flip-flops)</t>
  </si>
  <si>
    <t>Tyres</t>
  </si>
  <si>
    <t>Inner-tubes and rubber sheet</t>
  </si>
  <si>
    <t>Rubber bands</t>
  </si>
  <si>
    <t>Condoms</t>
  </si>
  <si>
    <t>Corks</t>
  </si>
  <si>
    <t>Fishing traps and pots</t>
  </si>
  <si>
    <t>Ice-cream sticks, chip forks, chopsticks &amp; toothpicks</t>
  </si>
  <si>
    <t>Processed timber and pallet crates</t>
  </si>
  <si>
    <t>Matches &amp; fireworks</t>
  </si>
  <si>
    <t>Date</t>
  </si>
  <si>
    <t>Beach</t>
  </si>
  <si>
    <t>lat_begin</t>
  </si>
  <si>
    <t>lon_begin</t>
  </si>
  <si>
    <t>lat_end</t>
  </si>
  <si>
    <t>lon_end</t>
  </si>
  <si>
    <t>oil</t>
  </si>
  <si>
    <t>seaweed_wrack</t>
  </si>
  <si>
    <t>natural_vegetation</t>
  </si>
  <si>
    <t>Urbanization</t>
  </si>
  <si>
    <t>Urban</t>
  </si>
  <si>
    <t>Sossego</t>
  </si>
  <si>
    <t>Semi-urban</t>
  </si>
  <si>
    <t>date</t>
  </si>
  <si>
    <t>Item</t>
  </si>
  <si>
    <t>Material</t>
  </si>
  <si>
    <t>farinha de milho</t>
  </si>
  <si>
    <t>flocão Rei de Ouro</t>
  </si>
  <si>
    <t>tetrapack</t>
  </si>
  <si>
    <t>prata</t>
  </si>
  <si>
    <t>bolacha</t>
  </si>
  <si>
    <t>TRELOSO</t>
  </si>
  <si>
    <t>flocão Fortemilho</t>
  </si>
  <si>
    <t>macarrão</t>
  </si>
  <si>
    <t>bolo de rolo</t>
  </si>
  <si>
    <t>metal</t>
  </si>
  <si>
    <t>cremosinho</t>
  </si>
  <si>
    <t>Heineken</t>
  </si>
  <si>
    <t>grãos do agreste</t>
  </si>
  <si>
    <t>coringa - flocão</t>
  </si>
  <si>
    <t>ALA</t>
  </si>
  <si>
    <t>rafia</t>
  </si>
  <si>
    <t>Transect</t>
  </si>
  <si>
    <t>test</t>
  </si>
  <si>
    <t>F_sub01</t>
  </si>
  <si>
    <t>F_sub02</t>
  </si>
  <si>
    <t>F_sub03</t>
  </si>
  <si>
    <t>F_sub04</t>
  </si>
  <si>
    <t>Test</t>
  </si>
  <si>
    <t>Underwater</t>
  </si>
  <si>
    <t>time</t>
  </si>
  <si>
    <t>time(min)</t>
  </si>
  <si>
    <t>tide</t>
  </si>
  <si>
    <t>Description</t>
  </si>
  <si>
    <t>color</t>
  </si>
  <si>
    <t>Width</t>
  </si>
  <si>
    <t>Length</t>
  </si>
  <si>
    <t>Height</t>
  </si>
  <si>
    <t>brand</t>
  </si>
  <si>
    <t>plastic</t>
  </si>
  <si>
    <t>metal and plastic</t>
  </si>
  <si>
    <t xml:space="preserve">metal </t>
  </si>
  <si>
    <t>ceramic</t>
  </si>
  <si>
    <t>glass</t>
  </si>
  <si>
    <t>Extra description</t>
  </si>
  <si>
    <t>package</t>
  </si>
  <si>
    <t>hook</t>
  </si>
  <si>
    <t>straw</t>
  </si>
  <si>
    <t>spoon</t>
  </si>
  <si>
    <t>wire</t>
  </si>
  <si>
    <t>fragment</t>
  </si>
  <si>
    <t>bag</t>
  </si>
  <si>
    <t>brick</t>
  </si>
  <si>
    <t>tile</t>
  </si>
  <si>
    <t>cup</t>
  </si>
  <si>
    <t>diaper</t>
  </si>
  <si>
    <t>bottle</t>
  </si>
  <si>
    <t>medicin</t>
  </si>
  <si>
    <t>food</t>
  </si>
  <si>
    <t>ice cream</t>
  </si>
  <si>
    <t>tomato sauce</t>
  </si>
  <si>
    <t>fishey</t>
  </si>
  <si>
    <t>yogurt</t>
  </si>
  <si>
    <t>cornflour</t>
  </si>
  <si>
    <t>peanut ice cream</t>
  </si>
  <si>
    <t>Milet</t>
  </si>
  <si>
    <t>Itambé</t>
  </si>
  <si>
    <t xml:space="preserve">yogurt </t>
  </si>
  <si>
    <t>Tarantella</t>
  </si>
  <si>
    <t>NGK - BKR6E-D</t>
  </si>
  <si>
    <t>Incrustation</t>
  </si>
  <si>
    <t xml:space="preserve">Natural da vaca </t>
  </si>
  <si>
    <t>single use</t>
  </si>
  <si>
    <t>Observation</t>
  </si>
  <si>
    <t>bite</t>
  </si>
  <si>
    <t>Internacional China</t>
  </si>
  <si>
    <t>washing powder</t>
  </si>
  <si>
    <t>Cookies</t>
  </si>
  <si>
    <t>bonsabor</t>
  </si>
  <si>
    <t>Flocão nutritiva</t>
  </si>
  <si>
    <t>candy</t>
  </si>
  <si>
    <t>hot dog</t>
  </si>
  <si>
    <t>POP</t>
  </si>
  <si>
    <t>rice</t>
  </si>
  <si>
    <t>bolo de rolo e cia</t>
  </si>
  <si>
    <t>egg</t>
  </si>
  <si>
    <t xml:space="preserve">vitarella </t>
  </si>
  <si>
    <t xml:space="preserve">elegê </t>
  </si>
  <si>
    <t>noodle</t>
  </si>
  <si>
    <t>mug</t>
  </si>
  <si>
    <t>turquesa</t>
  </si>
  <si>
    <t>cassava flour</t>
  </si>
  <si>
    <t>Betânia</t>
  </si>
  <si>
    <t>Flokão</t>
  </si>
  <si>
    <t>chips cebolitos</t>
  </si>
  <si>
    <t>elma chips</t>
  </si>
  <si>
    <t>chips conchitos</t>
  </si>
  <si>
    <t>Karintó</t>
  </si>
  <si>
    <t>Peanut</t>
  </si>
  <si>
    <t>beer</t>
  </si>
  <si>
    <t>hiperbom</t>
  </si>
  <si>
    <t>beans</t>
  </si>
  <si>
    <t>flexible</t>
  </si>
  <si>
    <t>haharddness</t>
  </si>
  <si>
    <t>hard</t>
  </si>
  <si>
    <t>brown</t>
  </si>
  <si>
    <t>green</t>
  </si>
  <si>
    <t>white</t>
  </si>
  <si>
    <t>yellow</t>
  </si>
  <si>
    <t>transparent</t>
  </si>
  <si>
    <t>blue</t>
  </si>
  <si>
    <t>silver</t>
  </si>
  <si>
    <t>pink</t>
  </si>
  <si>
    <t>red</t>
  </si>
  <si>
    <t>purple</t>
  </si>
  <si>
    <t>gray</t>
  </si>
  <si>
    <t>orange</t>
  </si>
  <si>
    <t>Possible source</t>
  </si>
  <si>
    <t>Beach User</t>
  </si>
  <si>
    <t>General Home</t>
  </si>
  <si>
    <t>Unknown</t>
  </si>
  <si>
    <t>Food Packaging</t>
  </si>
  <si>
    <t>Fisheries</t>
  </si>
  <si>
    <t>Hazardous</t>
  </si>
  <si>
    <t>Sewage/Personal Hygiene</t>
  </si>
  <si>
    <t>Knives, forks, spoons, straws, stirrers (cutlery)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</si>
</sst>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20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selection activeCell="C44" sqref="C44"/>
    </sheetView>
  </sheetViews>
  <sheetFormatPr defaultRowHeight="15" x14ac:dyDescent="0.25"/>
  <cols>
    <col min="2" max="2" width="10.5703125" bestFit="1" customWidth="1"/>
    <col min="5" max="5" width="9.28515625" bestFit="1" customWidth="1"/>
    <col min="6" max="6" width="9.7109375" bestFit="1" customWidth="1"/>
    <col min="7" max="7" width="9.28515625" bestFit="1" customWidth="1"/>
    <col min="11" max="11" width="14.5703125" customWidth="1"/>
    <col min="12" max="12" width="11.28515625" bestFit="1" customWidth="1"/>
  </cols>
  <sheetData>
    <row r="1" spans="1:12" x14ac:dyDescent="0.25">
      <c r="A1" t="s">
        <v>0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</v>
      </c>
      <c r="I1" t="s">
        <v>224</v>
      </c>
      <c r="J1" t="s">
        <v>225</v>
      </c>
      <c r="K1" t="s">
        <v>226</v>
      </c>
      <c r="L1" t="s">
        <v>227</v>
      </c>
    </row>
    <row r="2" spans="1:12" x14ac:dyDescent="0.25">
      <c r="A2" t="s">
        <v>91</v>
      </c>
      <c r="B2" s="1">
        <v>44639</v>
      </c>
      <c r="C2" t="s">
        <v>92</v>
      </c>
      <c r="D2">
        <v>-34.839685000000003</v>
      </c>
      <c r="E2">
        <v>-7.8109919999999997</v>
      </c>
      <c r="F2">
        <v>-34.842722000000002</v>
      </c>
      <c r="G2">
        <v>-7.8119779999999999</v>
      </c>
      <c r="H2" t="s">
        <v>93</v>
      </c>
      <c r="I2">
        <v>0</v>
      </c>
      <c r="J2">
        <v>0</v>
      </c>
      <c r="K2">
        <v>0</v>
      </c>
      <c r="L2" t="s">
        <v>228</v>
      </c>
    </row>
    <row r="3" spans="1:12" x14ac:dyDescent="0.25">
      <c r="A3" t="s">
        <v>94</v>
      </c>
      <c r="B3" s="1">
        <v>44639</v>
      </c>
      <c r="C3" t="s">
        <v>92</v>
      </c>
      <c r="D3">
        <v>-34.839685000000003</v>
      </c>
      <c r="E3">
        <v>-7.8109919999999997</v>
      </c>
      <c r="F3">
        <v>-34.842722000000002</v>
      </c>
      <c r="G3">
        <v>-7.8119779999999999</v>
      </c>
      <c r="H3" t="s">
        <v>95</v>
      </c>
      <c r="I3">
        <v>0</v>
      </c>
      <c r="J3">
        <v>0</v>
      </c>
      <c r="K3">
        <v>0</v>
      </c>
      <c r="L3" t="s">
        <v>228</v>
      </c>
    </row>
    <row r="4" spans="1:12" x14ac:dyDescent="0.25">
      <c r="A4" t="s">
        <v>96</v>
      </c>
      <c r="B4" s="1">
        <v>44639</v>
      </c>
      <c r="C4" t="s">
        <v>92</v>
      </c>
      <c r="D4">
        <v>-34.839685000000003</v>
      </c>
      <c r="E4">
        <v>-7.8109919999999997</v>
      </c>
      <c r="F4">
        <v>-34.842722000000002</v>
      </c>
      <c r="G4">
        <v>-7.8119779999999999</v>
      </c>
      <c r="H4" t="s">
        <v>97</v>
      </c>
      <c r="I4">
        <v>0</v>
      </c>
      <c r="J4">
        <v>0</v>
      </c>
      <c r="K4">
        <v>1</v>
      </c>
      <c r="L4" t="s">
        <v>228</v>
      </c>
    </row>
    <row r="5" spans="1:12" x14ac:dyDescent="0.25">
      <c r="A5" t="s">
        <v>102</v>
      </c>
      <c r="B5" s="1">
        <v>44641</v>
      </c>
      <c r="C5" t="s">
        <v>103</v>
      </c>
      <c r="D5">
        <v>-34.823703000000002</v>
      </c>
      <c r="E5">
        <v>-7.7513649999999998</v>
      </c>
      <c r="F5">
        <v>-34.823618000000003</v>
      </c>
      <c r="G5">
        <v>-7.7482670000000002</v>
      </c>
      <c r="H5" t="s">
        <v>93</v>
      </c>
      <c r="I5">
        <v>0</v>
      </c>
      <c r="J5">
        <v>0</v>
      </c>
      <c r="K5">
        <v>0</v>
      </c>
      <c r="L5" t="s">
        <v>228</v>
      </c>
    </row>
    <row r="6" spans="1:12" x14ac:dyDescent="0.25">
      <c r="A6" t="s">
        <v>104</v>
      </c>
      <c r="B6" s="1">
        <v>44641</v>
      </c>
      <c r="C6" t="s">
        <v>103</v>
      </c>
      <c r="D6">
        <v>-34.823703000000002</v>
      </c>
      <c r="E6">
        <v>-7.7513649999999998</v>
      </c>
      <c r="F6">
        <v>-34.823618000000003</v>
      </c>
      <c r="G6">
        <v>-7.7482670000000002</v>
      </c>
      <c r="H6" t="s">
        <v>95</v>
      </c>
      <c r="I6">
        <v>0</v>
      </c>
      <c r="J6">
        <v>0</v>
      </c>
      <c r="K6">
        <v>0</v>
      </c>
      <c r="L6" t="s">
        <v>228</v>
      </c>
    </row>
    <row r="7" spans="1:12" x14ac:dyDescent="0.25">
      <c r="A7" t="s">
        <v>105</v>
      </c>
      <c r="B7" s="1">
        <v>44641</v>
      </c>
      <c r="C7" t="s">
        <v>103</v>
      </c>
      <c r="D7">
        <v>-34.823703000000002</v>
      </c>
      <c r="E7">
        <v>-7.7513649999999998</v>
      </c>
      <c r="F7">
        <v>-34.823618000000003</v>
      </c>
      <c r="G7">
        <v>-7.7482670000000002</v>
      </c>
      <c r="H7" t="s">
        <v>97</v>
      </c>
      <c r="I7">
        <v>0</v>
      </c>
      <c r="J7">
        <v>0</v>
      </c>
      <c r="K7">
        <v>0</v>
      </c>
      <c r="L7" t="s">
        <v>228</v>
      </c>
    </row>
    <row r="8" spans="1:12" x14ac:dyDescent="0.25">
      <c r="A8" t="s">
        <v>98</v>
      </c>
      <c r="B8" s="1">
        <v>44640</v>
      </c>
      <c r="C8" t="s">
        <v>229</v>
      </c>
      <c r="D8">
        <v>-34.832796999999999</v>
      </c>
      <c r="E8">
        <v>-7.7147629999999996</v>
      </c>
      <c r="F8">
        <v>-34.832206999999997</v>
      </c>
      <c r="G8">
        <v>-7.7167830000000004</v>
      </c>
      <c r="H8" t="s">
        <v>93</v>
      </c>
      <c r="I8">
        <v>0</v>
      </c>
      <c r="J8">
        <v>1</v>
      </c>
      <c r="K8">
        <v>1</v>
      </c>
      <c r="L8" t="s">
        <v>230</v>
      </c>
    </row>
    <row r="9" spans="1:12" x14ac:dyDescent="0.25">
      <c r="A9" t="s">
        <v>100</v>
      </c>
      <c r="B9" s="1">
        <v>44640</v>
      </c>
      <c r="C9" t="s">
        <v>229</v>
      </c>
      <c r="D9">
        <v>-34.832796999999999</v>
      </c>
      <c r="E9">
        <v>-7.7147629999999996</v>
      </c>
      <c r="F9">
        <v>-34.832206999999997</v>
      </c>
      <c r="G9">
        <v>-7.7167830000000004</v>
      </c>
      <c r="H9" t="s">
        <v>95</v>
      </c>
      <c r="I9">
        <v>0</v>
      </c>
      <c r="J9">
        <v>1</v>
      </c>
      <c r="K9">
        <v>1</v>
      </c>
      <c r="L9" t="s">
        <v>230</v>
      </c>
    </row>
    <row r="10" spans="1:12" x14ac:dyDescent="0.25">
      <c r="A10" t="s">
        <v>101</v>
      </c>
      <c r="B10" s="1">
        <v>44640</v>
      </c>
      <c r="C10" t="s">
        <v>229</v>
      </c>
      <c r="D10">
        <v>-34.832796999999999</v>
      </c>
      <c r="E10">
        <v>-7.7147629999999996</v>
      </c>
      <c r="F10">
        <v>-34.832206999999997</v>
      </c>
      <c r="G10">
        <v>-7.7167830000000004</v>
      </c>
      <c r="H10" t="s">
        <v>97</v>
      </c>
      <c r="I10">
        <v>0</v>
      </c>
      <c r="J10">
        <v>1</v>
      </c>
      <c r="K10">
        <v>1</v>
      </c>
      <c r="L10" t="s">
        <v>230</v>
      </c>
    </row>
    <row r="11" spans="1:12" x14ac:dyDescent="0.25">
      <c r="A11" t="s">
        <v>106</v>
      </c>
      <c r="B11" s="1">
        <v>44729</v>
      </c>
      <c r="C11" t="s">
        <v>92</v>
      </c>
      <c r="D11">
        <v>-34.839685000000003</v>
      </c>
      <c r="E11">
        <v>-7.8109919999999997</v>
      </c>
      <c r="F11">
        <v>-34.842722000000002</v>
      </c>
      <c r="G11">
        <v>-7.8119779999999999</v>
      </c>
      <c r="H11" t="s">
        <v>93</v>
      </c>
      <c r="I11">
        <v>0</v>
      </c>
      <c r="J11">
        <v>0</v>
      </c>
      <c r="K11">
        <v>0</v>
      </c>
      <c r="L11" t="s">
        <v>228</v>
      </c>
    </row>
    <row r="12" spans="1:12" x14ac:dyDescent="0.25">
      <c r="A12" t="s">
        <v>107</v>
      </c>
      <c r="B12" s="1">
        <v>44729</v>
      </c>
      <c r="C12" t="s">
        <v>92</v>
      </c>
      <c r="D12">
        <v>-34.839685000000003</v>
      </c>
      <c r="E12">
        <v>-7.8109919999999997</v>
      </c>
      <c r="F12">
        <v>-34.842722000000002</v>
      </c>
      <c r="G12">
        <v>-7.8119779999999999</v>
      </c>
      <c r="H12" t="s">
        <v>95</v>
      </c>
      <c r="I12">
        <v>0</v>
      </c>
      <c r="J12">
        <v>0</v>
      </c>
      <c r="K12">
        <v>0</v>
      </c>
      <c r="L12" t="s">
        <v>228</v>
      </c>
    </row>
    <row r="13" spans="1:12" x14ac:dyDescent="0.25">
      <c r="A13" t="s">
        <v>108</v>
      </c>
      <c r="B13" s="1">
        <v>44729</v>
      </c>
      <c r="C13" t="s">
        <v>92</v>
      </c>
      <c r="D13">
        <v>-34.839685000000003</v>
      </c>
      <c r="E13">
        <v>-7.8109919999999997</v>
      </c>
      <c r="F13">
        <v>-34.842722000000002</v>
      </c>
      <c r="G13">
        <v>-7.8119779999999999</v>
      </c>
      <c r="H13" t="s">
        <v>97</v>
      </c>
      <c r="I13">
        <v>0</v>
      </c>
      <c r="J13">
        <v>0</v>
      </c>
      <c r="K13">
        <v>1</v>
      </c>
      <c r="L13" t="s">
        <v>228</v>
      </c>
    </row>
    <row r="14" spans="1:12" x14ac:dyDescent="0.25">
      <c r="A14" t="s">
        <v>109</v>
      </c>
      <c r="B14" s="1">
        <v>44728</v>
      </c>
      <c r="C14" t="s">
        <v>103</v>
      </c>
      <c r="D14">
        <v>-34.823703000000002</v>
      </c>
      <c r="E14">
        <v>-7.7513649999999998</v>
      </c>
      <c r="F14">
        <v>-34.823618000000003</v>
      </c>
      <c r="G14">
        <v>-7.7482670000000002</v>
      </c>
      <c r="H14" t="s">
        <v>93</v>
      </c>
      <c r="I14">
        <v>0</v>
      </c>
      <c r="J14">
        <v>0</v>
      </c>
      <c r="K14">
        <v>0</v>
      </c>
      <c r="L14" t="s">
        <v>228</v>
      </c>
    </row>
    <row r="15" spans="1:12" x14ac:dyDescent="0.25">
      <c r="A15" t="s">
        <v>110</v>
      </c>
      <c r="B15" s="1">
        <v>44728</v>
      </c>
      <c r="C15" t="s">
        <v>103</v>
      </c>
      <c r="D15">
        <v>-34.823703000000002</v>
      </c>
      <c r="E15">
        <v>-7.7513649999999998</v>
      </c>
      <c r="F15">
        <v>-34.823618000000003</v>
      </c>
      <c r="G15">
        <v>-7.7482670000000002</v>
      </c>
      <c r="H15" t="s">
        <v>95</v>
      </c>
      <c r="I15">
        <v>0</v>
      </c>
      <c r="J15">
        <v>0</v>
      </c>
      <c r="K15">
        <v>0</v>
      </c>
      <c r="L15" t="s">
        <v>228</v>
      </c>
    </row>
    <row r="16" spans="1:12" x14ac:dyDescent="0.25">
      <c r="A16" t="s">
        <v>111</v>
      </c>
      <c r="B16" s="1">
        <v>44728</v>
      </c>
      <c r="C16" t="s">
        <v>103</v>
      </c>
      <c r="D16">
        <v>-34.823703000000002</v>
      </c>
      <c r="E16">
        <v>-7.7513649999999998</v>
      </c>
      <c r="F16">
        <v>-34.823618000000003</v>
      </c>
      <c r="G16">
        <v>-7.7482670000000002</v>
      </c>
      <c r="H16" t="s">
        <v>97</v>
      </c>
      <c r="I16">
        <v>0</v>
      </c>
      <c r="J16">
        <v>0</v>
      </c>
      <c r="K16">
        <v>0</v>
      </c>
      <c r="L16" t="s">
        <v>228</v>
      </c>
    </row>
    <row r="17" spans="1:12" x14ac:dyDescent="0.25">
      <c r="A17" t="s">
        <v>112</v>
      </c>
      <c r="B17" s="1">
        <v>44727</v>
      </c>
      <c r="C17" t="s">
        <v>229</v>
      </c>
      <c r="D17">
        <v>-34.832796999999999</v>
      </c>
      <c r="E17">
        <v>-7.7147629999999996</v>
      </c>
      <c r="F17">
        <v>-34.832206999999997</v>
      </c>
      <c r="G17">
        <v>-7.7167830000000004</v>
      </c>
      <c r="H17" t="s">
        <v>93</v>
      </c>
      <c r="I17">
        <v>0</v>
      </c>
      <c r="J17">
        <v>1</v>
      </c>
      <c r="K17">
        <v>1</v>
      </c>
      <c r="L17" t="s">
        <v>230</v>
      </c>
    </row>
    <row r="18" spans="1:12" x14ac:dyDescent="0.25">
      <c r="A18" t="s">
        <v>113</v>
      </c>
      <c r="B18" s="1">
        <v>44727</v>
      </c>
      <c r="C18" t="s">
        <v>229</v>
      </c>
      <c r="D18">
        <v>-34.832796999999999</v>
      </c>
      <c r="E18">
        <v>-7.7147629999999996</v>
      </c>
      <c r="F18">
        <v>-34.832206999999997</v>
      </c>
      <c r="G18">
        <v>-7.7167830000000004</v>
      </c>
      <c r="H18" t="s">
        <v>95</v>
      </c>
      <c r="I18">
        <v>0</v>
      </c>
      <c r="J18">
        <v>1</v>
      </c>
      <c r="K18">
        <v>1</v>
      </c>
      <c r="L18" t="s">
        <v>230</v>
      </c>
    </row>
    <row r="19" spans="1:12" x14ac:dyDescent="0.25">
      <c r="A19" t="s">
        <v>114</v>
      </c>
      <c r="B19" s="1">
        <v>44727</v>
      </c>
      <c r="C19" t="s">
        <v>229</v>
      </c>
      <c r="D19">
        <v>-34.832796999999999</v>
      </c>
      <c r="E19">
        <v>-7.7147629999999996</v>
      </c>
      <c r="F19">
        <v>-34.832206999999997</v>
      </c>
      <c r="G19">
        <v>-7.7167830000000004</v>
      </c>
      <c r="H19" t="s">
        <v>97</v>
      </c>
      <c r="I19">
        <v>0</v>
      </c>
      <c r="J19">
        <v>1</v>
      </c>
      <c r="K19">
        <v>1</v>
      </c>
      <c r="L19" t="s">
        <v>230</v>
      </c>
    </row>
    <row r="20" spans="1:12" x14ac:dyDescent="0.25">
      <c r="A20" t="s">
        <v>120</v>
      </c>
      <c r="B20" s="1">
        <v>44816</v>
      </c>
      <c r="C20" t="s">
        <v>92</v>
      </c>
      <c r="D20">
        <v>-34.839685000000003</v>
      </c>
      <c r="E20">
        <v>-7.8109919999999997</v>
      </c>
      <c r="F20">
        <v>-34.842722000000002</v>
      </c>
      <c r="G20">
        <v>-7.8119779999999999</v>
      </c>
      <c r="H20" t="s">
        <v>93</v>
      </c>
      <c r="I20">
        <v>1</v>
      </c>
      <c r="J20">
        <v>0</v>
      </c>
      <c r="K20">
        <v>0</v>
      </c>
      <c r="L20" t="s">
        <v>228</v>
      </c>
    </row>
    <row r="21" spans="1:12" x14ac:dyDescent="0.25">
      <c r="A21" t="s">
        <v>121</v>
      </c>
      <c r="B21" s="1">
        <v>44816</v>
      </c>
      <c r="C21" t="s">
        <v>92</v>
      </c>
      <c r="D21">
        <v>-34.839685000000003</v>
      </c>
      <c r="E21">
        <v>-7.8109919999999997</v>
      </c>
      <c r="F21">
        <v>-34.842722000000002</v>
      </c>
      <c r="G21">
        <v>-7.8119779999999999</v>
      </c>
      <c r="H21" t="s">
        <v>95</v>
      </c>
      <c r="I21">
        <v>1</v>
      </c>
      <c r="J21">
        <v>0</v>
      </c>
      <c r="K21">
        <v>0</v>
      </c>
      <c r="L21" t="s">
        <v>228</v>
      </c>
    </row>
    <row r="22" spans="1:12" x14ac:dyDescent="0.25">
      <c r="A22" t="s">
        <v>122</v>
      </c>
      <c r="B22" s="1">
        <v>44816</v>
      </c>
      <c r="C22" t="s">
        <v>92</v>
      </c>
      <c r="D22">
        <v>-34.839685000000003</v>
      </c>
      <c r="E22">
        <v>-7.8109919999999997</v>
      </c>
      <c r="F22">
        <v>-34.842722000000002</v>
      </c>
      <c r="G22">
        <v>-7.8119779999999999</v>
      </c>
      <c r="H22" t="s">
        <v>97</v>
      </c>
      <c r="I22">
        <v>1</v>
      </c>
      <c r="J22">
        <v>0</v>
      </c>
      <c r="K22">
        <v>1</v>
      </c>
      <c r="L22" t="s">
        <v>228</v>
      </c>
    </row>
    <row r="23" spans="1:12" x14ac:dyDescent="0.25">
      <c r="A23" t="s">
        <v>118</v>
      </c>
      <c r="B23" s="1">
        <v>44815</v>
      </c>
      <c r="C23" t="s">
        <v>103</v>
      </c>
      <c r="D23">
        <v>-34.823703000000002</v>
      </c>
      <c r="E23">
        <v>-7.7513649999999998</v>
      </c>
      <c r="F23">
        <v>-34.823618000000003</v>
      </c>
      <c r="G23">
        <v>-7.7482670000000002</v>
      </c>
      <c r="H23" t="s">
        <v>93</v>
      </c>
      <c r="I23">
        <v>1</v>
      </c>
      <c r="J23">
        <v>0</v>
      </c>
      <c r="K23">
        <v>0</v>
      </c>
      <c r="L23" t="s">
        <v>228</v>
      </c>
    </row>
    <row r="24" spans="1:12" x14ac:dyDescent="0.25">
      <c r="A24" t="s">
        <v>119</v>
      </c>
      <c r="B24" s="1">
        <v>44815</v>
      </c>
      <c r="C24" t="s">
        <v>103</v>
      </c>
      <c r="D24">
        <v>-34.823703000000002</v>
      </c>
      <c r="E24">
        <v>-7.7513649999999998</v>
      </c>
      <c r="F24">
        <v>-34.823618000000003</v>
      </c>
      <c r="G24">
        <v>-7.7482670000000002</v>
      </c>
      <c r="H24" t="s">
        <v>95</v>
      </c>
      <c r="I24">
        <v>1</v>
      </c>
      <c r="J24">
        <v>0</v>
      </c>
      <c r="K24">
        <v>0</v>
      </c>
      <c r="L24" t="s">
        <v>228</v>
      </c>
    </row>
    <row r="25" spans="1:12" x14ac:dyDescent="0.25">
      <c r="A25" t="s">
        <v>119</v>
      </c>
      <c r="B25" s="1">
        <v>44815</v>
      </c>
      <c r="C25" t="s">
        <v>103</v>
      </c>
      <c r="D25">
        <v>-34.823703000000002</v>
      </c>
      <c r="E25">
        <v>-7.7513649999999998</v>
      </c>
      <c r="F25">
        <v>-34.823618000000003</v>
      </c>
      <c r="G25">
        <v>-7.7482670000000002</v>
      </c>
      <c r="H25" t="s">
        <v>97</v>
      </c>
      <c r="I25">
        <v>1</v>
      </c>
      <c r="J25">
        <v>0</v>
      </c>
      <c r="K25">
        <v>0</v>
      </c>
      <c r="L25" t="s">
        <v>228</v>
      </c>
    </row>
    <row r="26" spans="1:12" x14ac:dyDescent="0.25">
      <c r="A26" t="s">
        <v>115</v>
      </c>
      <c r="B26" s="1">
        <v>44814</v>
      </c>
      <c r="C26" t="s">
        <v>229</v>
      </c>
      <c r="D26">
        <v>-34.832796999999999</v>
      </c>
      <c r="E26">
        <v>-7.7147629999999996</v>
      </c>
      <c r="F26">
        <v>-34.832206999999997</v>
      </c>
      <c r="G26">
        <v>-7.7167830000000004</v>
      </c>
      <c r="H26" t="s">
        <v>93</v>
      </c>
      <c r="I26">
        <v>1</v>
      </c>
      <c r="J26">
        <v>1</v>
      </c>
      <c r="K26">
        <v>1</v>
      </c>
      <c r="L26" t="s">
        <v>230</v>
      </c>
    </row>
    <row r="27" spans="1:12" x14ac:dyDescent="0.25">
      <c r="A27" t="s">
        <v>116</v>
      </c>
      <c r="B27" s="1">
        <v>44814</v>
      </c>
      <c r="C27" t="s">
        <v>229</v>
      </c>
      <c r="D27">
        <v>-34.832796999999999</v>
      </c>
      <c r="E27">
        <v>-7.7147629999999996</v>
      </c>
      <c r="F27">
        <v>-34.832206999999997</v>
      </c>
      <c r="G27">
        <v>-7.7167830000000004</v>
      </c>
      <c r="H27" t="s">
        <v>95</v>
      </c>
      <c r="I27">
        <v>1</v>
      </c>
      <c r="J27">
        <v>1</v>
      </c>
      <c r="K27">
        <v>1</v>
      </c>
      <c r="L27" t="s">
        <v>230</v>
      </c>
    </row>
    <row r="28" spans="1:12" x14ac:dyDescent="0.25">
      <c r="A28" t="s">
        <v>117</v>
      </c>
      <c r="B28" s="1">
        <v>44814</v>
      </c>
      <c r="C28" t="s">
        <v>229</v>
      </c>
      <c r="D28">
        <v>-34.832796999999999</v>
      </c>
      <c r="E28">
        <v>-7.7147629999999996</v>
      </c>
      <c r="F28">
        <v>-34.832206999999997</v>
      </c>
      <c r="G28">
        <v>-7.7167830000000004</v>
      </c>
      <c r="H28" t="s">
        <v>97</v>
      </c>
      <c r="I28">
        <v>1</v>
      </c>
      <c r="J28">
        <v>1</v>
      </c>
      <c r="K28">
        <v>1</v>
      </c>
      <c r="L28" t="s">
        <v>230</v>
      </c>
    </row>
    <row r="29" spans="1:12" x14ac:dyDescent="0.25">
      <c r="A29" t="s">
        <v>124</v>
      </c>
      <c r="B29" s="1">
        <v>44916</v>
      </c>
      <c r="C29" t="s">
        <v>229</v>
      </c>
      <c r="D29">
        <v>-34.839685000000003</v>
      </c>
      <c r="E29">
        <v>-7.8109919999999997</v>
      </c>
      <c r="F29">
        <v>-34.842722000000002</v>
      </c>
      <c r="G29">
        <v>-7.8119779999999999</v>
      </c>
      <c r="H29" t="s">
        <v>93</v>
      </c>
      <c r="I29">
        <v>0</v>
      </c>
      <c r="J29">
        <v>1</v>
      </c>
      <c r="K29">
        <v>1</v>
      </c>
      <c r="L29" t="s">
        <v>228</v>
      </c>
    </row>
    <row r="30" spans="1:12" x14ac:dyDescent="0.25">
      <c r="A30" t="s">
        <v>125</v>
      </c>
      <c r="B30" s="1">
        <v>44916</v>
      </c>
      <c r="C30" t="s">
        <v>229</v>
      </c>
      <c r="D30">
        <v>-34.839685000000003</v>
      </c>
      <c r="E30">
        <v>-7.8109919999999997</v>
      </c>
      <c r="F30">
        <v>-34.842722000000002</v>
      </c>
      <c r="G30">
        <v>-7.8119779999999999</v>
      </c>
      <c r="H30" t="s">
        <v>95</v>
      </c>
      <c r="I30">
        <v>0</v>
      </c>
      <c r="J30">
        <v>1</v>
      </c>
      <c r="K30">
        <v>1</v>
      </c>
      <c r="L30" t="s">
        <v>228</v>
      </c>
    </row>
    <row r="31" spans="1:12" x14ac:dyDescent="0.25">
      <c r="A31" t="s">
        <v>126</v>
      </c>
      <c r="B31" s="1">
        <v>44916</v>
      </c>
      <c r="C31" t="s">
        <v>229</v>
      </c>
      <c r="D31">
        <v>-34.839685000000003</v>
      </c>
      <c r="E31">
        <v>-7.8109919999999997</v>
      </c>
      <c r="F31">
        <v>-34.842722000000002</v>
      </c>
      <c r="G31">
        <v>-7.8119779999999999</v>
      </c>
      <c r="H31" t="s">
        <v>97</v>
      </c>
      <c r="I31">
        <v>0</v>
      </c>
      <c r="J31">
        <v>1</v>
      </c>
      <c r="K31">
        <v>1</v>
      </c>
      <c r="L31" t="s">
        <v>228</v>
      </c>
    </row>
    <row r="32" spans="1:12" x14ac:dyDescent="0.25">
      <c r="A32" t="s">
        <v>127</v>
      </c>
      <c r="B32" s="1">
        <v>44916</v>
      </c>
      <c r="C32" t="s">
        <v>103</v>
      </c>
      <c r="D32">
        <v>-34.823703000000002</v>
      </c>
      <c r="E32">
        <v>-7.7513649999999998</v>
      </c>
      <c r="F32">
        <v>-34.823618000000003</v>
      </c>
      <c r="G32">
        <v>-7.7482670000000002</v>
      </c>
      <c r="H32" t="s">
        <v>93</v>
      </c>
      <c r="I32">
        <v>0</v>
      </c>
      <c r="J32">
        <v>0</v>
      </c>
      <c r="K32">
        <v>0</v>
      </c>
      <c r="L32" t="s">
        <v>228</v>
      </c>
    </row>
    <row r="33" spans="1:12" x14ac:dyDescent="0.25">
      <c r="A33" t="s">
        <v>128</v>
      </c>
      <c r="B33" s="1">
        <v>44916</v>
      </c>
      <c r="C33" t="s">
        <v>103</v>
      </c>
      <c r="D33">
        <v>-34.823703000000002</v>
      </c>
      <c r="E33">
        <v>-7.7513649999999998</v>
      </c>
      <c r="F33">
        <v>-34.823618000000003</v>
      </c>
      <c r="G33">
        <v>-7.7482670000000002</v>
      </c>
      <c r="H33" t="s">
        <v>95</v>
      </c>
      <c r="I33">
        <v>0</v>
      </c>
      <c r="J33">
        <v>0</v>
      </c>
      <c r="K33">
        <v>0</v>
      </c>
      <c r="L33" t="s">
        <v>228</v>
      </c>
    </row>
    <row r="34" spans="1:12" x14ac:dyDescent="0.25">
      <c r="A34" t="s">
        <v>129</v>
      </c>
      <c r="B34" s="1">
        <v>44916</v>
      </c>
      <c r="C34" t="s">
        <v>103</v>
      </c>
      <c r="D34">
        <v>-34.823703000000002</v>
      </c>
      <c r="E34">
        <v>-7.7513649999999998</v>
      </c>
      <c r="F34">
        <v>-34.823618000000003</v>
      </c>
      <c r="G34">
        <v>-7.7482670000000002</v>
      </c>
      <c r="H34" t="s">
        <v>97</v>
      </c>
      <c r="I34">
        <v>0</v>
      </c>
      <c r="J34">
        <v>0</v>
      </c>
      <c r="K34">
        <v>0</v>
      </c>
      <c r="L34" t="s">
        <v>228</v>
      </c>
    </row>
    <row r="35" spans="1:12" x14ac:dyDescent="0.25">
      <c r="A35" s="2" t="s">
        <v>130</v>
      </c>
      <c r="B35" s="3">
        <v>44917</v>
      </c>
      <c r="C35" s="2" t="s">
        <v>92</v>
      </c>
      <c r="D35">
        <v>-34.832796999999999</v>
      </c>
      <c r="E35">
        <v>-7.7147629999999996</v>
      </c>
      <c r="F35">
        <v>-34.832206999999997</v>
      </c>
      <c r="G35">
        <v>-7.7167830000000004</v>
      </c>
      <c r="H35" t="s">
        <v>93</v>
      </c>
      <c r="I35">
        <v>0</v>
      </c>
      <c r="J35">
        <v>0</v>
      </c>
      <c r="K35">
        <v>0</v>
      </c>
      <c r="L35" t="s">
        <v>230</v>
      </c>
    </row>
    <row r="36" spans="1:12" x14ac:dyDescent="0.25">
      <c r="A36" s="2" t="s">
        <v>131</v>
      </c>
      <c r="B36" s="3">
        <v>44917</v>
      </c>
      <c r="C36" s="2" t="s">
        <v>92</v>
      </c>
      <c r="D36">
        <v>-34.832796999999999</v>
      </c>
      <c r="E36">
        <v>-7.7147629999999996</v>
      </c>
      <c r="F36">
        <v>-34.832206999999997</v>
      </c>
      <c r="G36">
        <v>-7.7167830000000004</v>
      </c>
      <c r="H36" t="s">
        <v>95</v>
      </c>
      <c r="I36">
        <v>0</v>
      </c>
      <c r="J36">
        <v>0</v>
      </c>
      <c r="K36">
        <v>0</v>
      </c>
      <c r="L36" t="s">
        <v>230</v>
      </c>
    </row>
    <row r="37" spans="1:12" x14ac:dyDescent="0.25">
      <c r="A37" s="2" t="s">
        <v>132</v>
      </c>
      <c r="B37" s="3">
        <v>44917</v>
      </c>
      <c r="C37" s="2" t="s">
        <v>92</v>
      </c>
      <c r="D37">
        <v>-34.832796999999999</v>
      </c>
      <c r="E37">
        <v>-7.7147629999999996</v>
      </c>
      <c r="F37">
        <v>-34.832206999999997</v>
      </c>
      <c r="G37">
        <v>-7.7167830000000004</v>
      </c>
      <c r="H37" t="s">
        <v>97</v>
      </c>
      <c r="I37">
        <v>0</v>
      </c>
      <c r="J37">
        <v>0</v>
      </c>
      <c r="K37">
        <v>1</v>
      </c>
      <c r="L37" t="s">
        <v>230</v>
      </c>
    </row>
    <row r="38" spans="1:12" x14ac:dyDescent="0.25">
      <c r="A38" s="2" t="s">
        <v>252</v>
      </c>
      <c r="B38" s="1">
        <v>44916</v>
      </c>
      <c r="C38" s="2" t="s">
        <v>92</v>
      </c>
      <c r="D38">
        <v>-34.832796999999999</v>
      </c>
      <c r="E38">
        <v>-7.7147629999999996</v>
      </c>
      <c r="F38">
        <v>-34.832206999999997</v>
      </c>
      <c r="G38">
        <v>-7.7167830000000004</v>
      </c>
      <c r="H38" t="s">
        <v>256</v>
      </c>
      <c r="I38">
        <v>0</v>
      </c>
      <c r="J38">
        <v>0</v>
      </c>
      <c r="K38">
        <v>0</v>
      </c>
      <c r="L38" t="s">
        <v>257</v>
      </c>
    </row>
    <row r="39" spans="1:12" x14ac:dyDescent="0.25">
      <c r="A39" s="2" t="s">
        <v>253</v>
      </c>
      <c r="B39" s="1">
        <v>44917</v>
      </c>
      <c r="C39" s="2" t="s">
        <v>92</v>
      </c>
      <c r="D39">
        <v>-34.832796999999999</v>
      </c>
      <c r="E39">
        <v>-7.7147629999999996</v>
      </c>
      <c r="F39">
        <v>-34.832206999999997</v>
      </c>
      <c r="G39">
        <v>-7.7167830000000004</v>
      </c>
      <c r="H39" t="s">
        <v>93</v>
      </c>
      <c r="I39">
        <v>0</v>
      </c>
      <c r="J39">
        <v>0</v>
      </c>
      <c r="K39">
        <v>0</v>
      </c>
      <c r="L39" t="s">
        <v>257</v>
      </c>
    </row>
    <row r="40" spans="1:12" x14ac:dyDescent="0.25">
      <c r="A40" s="2" t="s">
        <v>254</v>
      </c>
      <c r="B40" s="1">
        <v>44917</v>
      </c>
      <c r="C40" s="2" t="s">
        <v>92</v>
      </c>
      <c r="D40">
        <v>-34.832796999999999</v>
      </c>
      <c r="E40">
        <v>-7.7147629999999996</v>
      </c>
      <c r="F40">
        <v>-34.832206999999997</v>
      </c>
      <c r="G40">
        <v>-7.7167830000000004</v>
      </c>
      <c r="H40" t="s">
        <v>95</v>
      </c>
      <c r="I40">
        <v>0</v>
      </c>
      <c r="J40">
        <v>0</v>
      </c>
      <c r="K40">
        <v>0</v>
      </c>
      <c r="L40" t="s">
        <v>257</v>
      </c>
    </row>
    <row r="41" spans="1:12" x14ac:dyDescent="0.25">
      <c r="A41" s="2" t="s">
        <v>255</v>
      </c>
      <c r="B41" s="1">
        <v>44917</v>
      </c>
      <c r="C41" s="2" t="s">
        <v>92</v>
      </c>
      <c r="D41">
        <v>-34.832796999999999</v>
      </c>
      <c r="E41">
        <v>-7.7147629999999996</v>
      </c>
      <c r="F41">
        <v>-34.832206999999997</v>
      </c>
      <c r="G41">
        <v>-7.7167830000000004</v>
      </c>
      <c r="H41" t="s">
        <v>97</v>
      </c>
      <c r="I41">
        <v>0</v>
      </c>
      <c r="J41">
        <v>0</v>
      </c>
      <c r="K41">
        <v>0</v>
      </c>
      <c r="L41" t="s">
        <v>257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37"/>
  <sheetViews>
    <sheetView workbookViewId="0">
      <pane ySplit="1" topLeftCell="A2" activePane="bottomLeft" state="frozen"/>
      <selection pane="bottomLeft" activeCell="E37" sqref="E37"/>
    </sheetView>
  </sheetViews>
  <sheetFormatPr defaultRowHeight="15" x14ac:dyDescent="0.25"/>
  <cols>
    <col min="2" max="2" width="10.7109375" bestFit="1" customWidth="1"/>
  </cols>
  <sheetData>
    <row r="1" spans="1:94" x14ac:dyDescent="0.25">
      <c r="A1" t="s">
        <v>0</v>
      </c>
      <c r="B1" t="s">
        <v>231</v>
      </c>
      <c r="C1" t="s">
        <v>1</v>
      </c>
      <c r="D1" t="s">
        <v>2</v>
      </c>
      <c r="E1" t="s">
        <v>3</v>
      </c>
      <c r="F1" t="s">
        <v>134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133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</row>
    <row r="2" spans="1:94" x14ac:dyDescent="0.25">
      <c r="A2" t="s">
        <v>91</v>
      </c>
      <c r="B2" s="1">
        <v>44639</v>
      </c>
      <c r="C2" t="s">
        <v>92</v>
      </c>
      <c r="D2" t="s">
        <v>93</v>
      </c>
      <c r="E2">
        <v>925</v>
      </c>
      <c r="F2">
        <v>3350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17</v>
      </c>
      <c r="O2">
        <v>0</v>
      </c>
      <c r="P2">
        <v>4</v>
      </c>
      <c r="Q2">
        <v>0</v>
      </c>
      <c r="R2">
        <v>25</v>
      </c>
      <c r="S2">
        <v>0</v>
      </c>
      <c r="T2">
        <v>0</v>
      </c>
      <c r="U2">
        <v>0</v>
      </c>
      <c r="V2">
        <v>0</v>
      </c>
      <c r="W2">
        <v>0</v>
      </c>
      <c r="X2">
        <v>6</v>
      </c>
      <c r="Y2">
        <v>0</v>
      </c>
      <c r="Z2">
        <v>0</v>
      </c>
      <c r="AA2">
        <v>7</v>
      </c>
      <c r="AB2">
        <v>0</v>
      </c>
      <c r="AC2">
        <v>0</v>
      </c>
      <c r="AD2">
        <v>0</v>
      </c>
      <c r="AE2">
        <v>0</v>
      </c>
      <c r="AF2">
        <v>0</v>
      </c>
      <c r="AG2">
        <v>3</v>
      </c>
      <c r="AH2">
        <v>0</v>
      </c>
      <c r="AI2">
        <v>0</v>
      </c>
      <c r="AJ2">
        <v>0</v>
      </c>
      <c r="AK2">
        <v>1</v>
      </c>
      <c r="AL2">
        <v>0</v>
      </c>
      <c r="AM2">
        <v>1</v>
      </c>
      <c r="AN2">
        <v>0</v>
      </c>
      <c r="AO2">
        <v>0</v>
      </c>
      <c r="AP2">
        <v>3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</v>
      </c>
      <c r="AX2">
        <v>2</v>
      </c>
      <c r="AY2">
        <v>0</v>
      </c>
      <c r="AZ2">
        <v>0</v>
      </c>
      <c r="BA2">
        <v>5</v>
      </c>
      <c r="BB2">
        <v>0</v>
      </c>
      <c r="BC2">
        <v>13</v>
      </c>
      <c r="BD2">
        <v>12</v>
      </c>
      <c r="BE2">
        <v>2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  <c r="BN2">
        <v>4</v>
      </c>
      <c r="BO2">
        <v>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9</v>
      </c>
      <c r="BY2">
        <v>4</v>
      </c>
      <c r="BZ2">
        <v>0</v>
      </c>
      <c r="CA2">
        <v>2</v>
      </c>
      <c r="CB2">
        <v>0</v>
      </c>
      <c r="CC2">
        <v>2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</row>
    <row r="3" spans="1:94" x14ac:dyDescent="0.25">
      <c r="A3" t="s">
        <v>94</v>
      </c>
      <c r="B3" s="1">
        <v>44639</v>
      </c>
      <c r="C3" t="s">
        <v>92</v>
      </c>
      <c r="D3" t="s">
        <v>95</v>
      </c>
      <c r="E3">
        <v>725</v>
      </c>
      <c r="F3">
        <v>3350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36</v>
      </c>
      <c r="O3">
        <v>0</v>
      </c>
      <c r="P3">
        <v>4</v>
      </c>
      <c r="Q3">
        <v>0</v>
      </c>
      <c r="R3">
        <v>21</v>
      </c>
      <c r="S3">
        <v>0</v>
      </c>
      <c r="T3">
        <v>0</v>
      </c>
      <c r="U3">
        <v>0</v>
      </c>
      <c r="V3">
        <v>0</v>
      </c>
      <c r="W3">
        <v>0</v>
      </c>
      <c r="X3">
        <v>4</v>
      </c>
      <c r="Y3">
        <v>0</v>
      </c>
      <c r="Z3">
        <v>0</v>
      </c>
      <c r="AA3">
        <v>4</v>
      </c>
      <c r="AB3">
        <v>1</v>
      </c>
      <c r="AC3">
        <v>0</v>
      </c>
      <c r="AD3">
        <v>0</v>
      </c>
      <c r="AE3">
        <v>0</v>
      </c>
      <c r="AF3">
        <v>6</v>
      </c>
      <c r="AG3">
        <v>0</v>
      </c>
      <c r="AH3">
        <v>0</v>
      </c>
      <c r="AI3">
        <v>0</v>
      </c>
      <c r="AJ3">
        <v>0</v>
      </c>
      <c r="AK3">
        <v>3</v>
      </c>
      <c r="AL3">
        <v>0</v>
      </c>
      <c r="AM3">
        <v>0</v>
      </c>
      <c r="AN3">
        <v>0</v>
      </c>
      <c r="AO3">
        <v>0</v>
      </c>
      <c r="AP3">
        <v>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9</v>
      </c>
      <c r="AX3">
        <v>0</v>
      </c>
      <c r="AY3">
        <v>0</v>
      </c>
      <c r="AZ3">
        <v>0</v>
      </c>
      <c r="BA3">
        <v>7</v>
      </c>
      <c r="BB3">
        <v>0</v>
      </c>
      <c r="BC3">
        <v>20</v>
      </c>
      <c r="BD3">
        <v>4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4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9</v>
      </c>
      <c r="BY3">
        <v>9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</row>
    <row r="4" spans="1:94" x14ac:dyDescent="0.25">
      <c r="A4" t="s">
        <v>96</v>
      </c>
      <c r="B4" s="1">
        <v>44639</v>
      </c>
      <c r="C4" t="s">
        <v>92</v>
      </c>
      <c r="D4" t="s">
        <v>97</v>
      </c>
      <c r="E4">
        <v>550</v>
      </c>
      <c r="F4">
        <v>3350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15</v>
      </c>
      <c r="O4">
        <v>0</v>
      </c>
      <c r="P4">
        <v>6</v>
      </c>
      <c r="Q4">
        <v>1</v>
      </c>
      <c r="R4">
        <v>50</v>
      </c>
      <c r="S4">
        <v>0</v>
      </c>
      <c r="T4">
        <v>0</v>
      </c>
      <c r="U4">
        <v>0</v>
      </c>
      <c r="V4">
        <v>0</v>
      </c>
      <c r="W4">
        <v>0</v>
      </c>
      <c r="X4">
        <v>8</v>
      </c>
      <c r="Y4">
        <v>0</v>
      </c>
      <c r="Z4">
        <v>0</v>
      </c>
      <c r="AA4">
        <v>6</v>
      </c>
      <c r="AB4">
        <v>0</v>
      </c>
      <c r="AC4">
        <v>0</v>
      </c>
      <c r="AD4">
        <v>0</v>
      </c>
      <c r="AE4">
        <v>0</v>
      </c>
      <c r="AF4">
        <v>7</v>
      </c>
      <c r="AG4">
        <v>1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6</v>
      </c>
      <c r="AX4">
        <v>0</v>
      </c>
      <c r="AY4">
        <v>0</v>
      </c>
      <c r="AZ4">
        <v>0</v>
      </c>
      <c r="BA4">
        <v>5</v>
      </c>
      <c r="BB4">
        <v>0</v>
      </c>
      <c r="BC4">
        <v>18</v>
      </c>
      <c r="BD4">
        <v>1</v>
      </c>
      <c r="BE4">
        <v>0</v>
      </c>
      <c r="BF4">
        <v>0</v>
      </c>
      <c r="BG4">
        <v>0</v>
      </c>
      <c r="BH4">
        <v>2</v>
      </c>
      <c r="BI4">
        <v>0</v>
      </c>
      <c r="BJ4">
        <v>0</v>
      </c>
      <c r="BK4">
        <v>0</v>
      </c>
      <c r="BL4">
        <v>0</v>
      </c>
      <c r="BM4">
        <v>0</v>
      </c>
      <c r="BN4">
        <v>2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17</v>
      </c>
      <c r="BY4">
        <v>18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</row>
    <row r="5" spans="1:94" x14ac:dyDescent="0.25">
      <c r="A5" t="s">
        <v>98</v>
      </c>
      <c r="B5" s="1">
        <v>44640</v>
      </c>
      <c r="C5" t="s">
        <v>99</v>
      </c>
      <c r="D5" t="s">
        <v>93</v>
      </c>
      <c r="E5">
        <v>875</v>
      </c>
      <c r="F5">
        <v>3350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4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2</v>
      </c>
      <c r="CO5">
        <v>0</v>
      </c>
      <c r="CP5">
        <v>0</v>
      </c>
    </row>
    <row r="6" spans="1:94" x14ac:dyDescent="0.25">
      <c r="A6" t="s">
        <v>100</v>
      </c>
      <c r="B6" s="1">
        <v>44640</v>
      </c>
      <c r="C6" t="s">
        <v>99</v>
      </c>
      <c r="D6" t="s">
        <v>95</v>
      </c>
      <c r="E6">
        <v>1425</v>
      </c>
      <c r="F6">
        <v>3350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10</v>
      </c>
      <c r="O6">
        <v>0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1</v>
      </c>
      <c r="AZ6">
        <v>0</v>
      </c>
      <c r="BA6">
        <v>1</v>
      </c>
      <c r="BB6">
        <v>0</v>
      </c>
      <c r="BC6">
        <v>5</v>
      </c>
      <c r="BD6">
        <v>1</v>
      </c>
      <c r="BE6">
        <v>2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>
        <v>1</v>
      </c>
      <c r="BY6">
        <v>4</v>
      </c>
      <c r="BZ6">
        <v>0</v>
      </c>
      <c r="CA6">
        <v>2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7</v>
      </c>
      <c r="CO6">
        <v>0</v>
      </c>
      <c r="CP6">
        <v>0</v>
      </c>
    </row>
    <row r="7" spans="1:94" x14ac:dyDescent="0.25">
      <c r="A7" t="s">
        <v>101</v>
      </c>
      <c r="B7" s="1">
        <v>44640</v>
      </c>
      <c r="C7" t="s">
        <v>99</v>
      </c>
      <c r="D7" t="s">
        <v>97</v>
      </c>
      <c r="E7">
        <v>1825</v>
      </c>
      <c r="F7">
        <v>3350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27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3</v>
      </c>
      <c r="AY7">
        <v>0</v>
      </c>
      <c r="AZ7">
        <v>0</v>
      </c>
      <c r="BA7">
        <v>6</v>
      </c>
      <c r="BB7">
        <v>0</v>
      </c>
      <c r="BC7">
        <v>13</v>
      </c>
      <c r="BD7">
        <v>1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3</v>
      </c>
      <c r="BO7">
        <v>2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7</v>
      </c>
      <c r="BZ7">
        <v>0</v>
      </c>
      <c r="CA7">
        <v>0</v>
      </c>
      <c r="CB7">
        <v>0</v>
      </c>
      <c r="CC7">
        <v>0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7</v>
      </c>
      <c r="CO7">
        <v>0</v>
      </c>
      <c r="CP7">
        <v>0</v>
      </c>
    </row>
    <row r="8" spans="1:94" x14ac:dyDescent="0.25">
      <c r="A8" t="s">
        <v>102</v>
      </c>
      <c r="B8" s="1">
        <v>44641</v>
      </c>
      <c r="C8" t="s">
        <v>103</v>
      </c>
      <c r="D8" t="s">
        <v>93</v>
      </c>
      <c r="E8">
        <v>925</v>
      </c>
      <c r="F8">
        <v>3350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14</v>
      </c>
      <c r="O8">
        <v>0</v>
      </c>
      <c r="P8">
        <v>1</v>
      </c>
      <c r="Q8">
        <v>1</v>
      </c>
      <c r="R8">
        <v>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3</v>
      </c>
      <c r="AX8">
        <v>0</v>
      </c>
      <c r="AY8">
        <v>0</v>
      </c>
      <c r="AZ8">
        <v>0</v>
      </c>
      <c r="BA8">
        <v>4</v>
      </c>
      <c r="BB8">
        <v>0</v>
      </c>
      <c r="BC8">
        <v>5</v>
      </c>
      <c r="BD8">
        <v>1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3</v>
      </c>
      <c r="BO8">
        <v>1</v>
      </c>
      <c r="BP8">
        <v>0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4</v>
      </c>
      <c r="BY8">
        <v>12</v>
      </c>
      <c r="BZ8">
        <v>0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</row>
    <row r="9" spans="1:94" x14ac:dyDescent="0.25">
      <c r="A9" t="s">
        <v>104</v>
      </c>
      <c r="B9" s="1">
        <v>44641</v>
      </c>
      <c r="C9" t="s">
        <v>103</v>
      </c>
      <c r="D9" t="s">
        <v>95</v>
      </c>
      <c r="E9">
        <v>950</v>
      </c>
      <c r="F9">
        <v>3350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14</v>
      </c>
      <c r="O9">
        <v>0</v>
      </c>
      <c r="P9">
        <v>0</v>
      </c>
      <c r="Q9">
        <v>0</v>
      </c>
      <c r="R9">
        <v>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</v>
      </c>
      <c r="AX9">
        <v>0</v>
      </c>
      <c r="AY9">
        <v>0</v>
      </c>
      <c r="AZ9">
        <v>0</v>
      </c>
      <c r="BA9">
        <v>6</v>
      </c>
      <c r="BB9">
        <v>0</v>
      </c>
      <c r="BC9">
        <v>4</v>
      </c>
      <c r="BD9">
        <v>3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  <c r="BN9">
        <v>5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6</v>
      </c>
      <c r="BY9">
        <v>18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</row>
    <row r="10" spans="1:94" x14ac:dyDescent="0.25">
      <c r="A10" t="s">
        <v>105</v>
      </c>
      <c r="B10" s="1">
        <v>44641</v>
      </c>
      <c r="C10" t="s">
        <v>103</v>
      </c>
      <c r="D10" t="s">
        <v>97</v>
      </c>
      <c r="E10">
        <v>1025</v>
      </c>
      <c r="F10">
        <v>3350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22</v>
      </c>
      <c r="O10">
        <v>0</v>
      </c>
      <c r="P10">
        <v>0</v>
      </c>
      <c r="Q10">
        <v>2</v>
      </c>
      <c r="R10">
        <v>17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4</v>
      </c>
      <c r="AX10">
        <v>0</v>
      </c>
      <c r="AY10">
        <v>0</v>
      </c>
      <c r="AZ10">
        <v>0</v>
      </c>
      <c r="BA10">
        <v>9</v>
      </c>
      <c r="BB10">
        <v>0</v>
      </c>
      <c r="BC10">
        <v>12</v>
      </c>
      <c r="BD10">
        <v>3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5</v>
      </c>
      <c r="BO10">
        <v>3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5</v>
      </c>
      <c r="BY10">
        <v>23</v>
      </c>
      <c r="BZ10">
        <v>0</v>
      </c>
      <c r="CA10">
        <v>0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</row>
    <row r="11" spans="1:94" x14ac:dyDescent="0.25">
      <c r="A11" t="s">
        <v>106</v>
      </c>
      <c r="B11" s="1">
        <v>44729</v>
      </c>
      <c r="C11" t="s">
        <v>92</v>
      </c>
      <c r="D11" t="s">
        <v>93</v>
      </c>
      <c r="E11">
        <v>850</v>
      </c>
      <c r="F11">
        <v>6495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5</v>
      </c>
      <c r="O11">
        <v>66</v>
      </c>
      <c r="P11">
        <v>49</v>
      </c>
      <c r="Q11">
        <v>1</v>
      </c>
      <c r="R11">
        <v>37</v>
      </c>
      <c r="S11">
        <v>1</v>
      </c>
      <c r="T11">
        <v>0</v>
      </c>
      <c r="U11">
        <v>0</v>
      </c>
      <c r="V11">
        <v>0</v>
      </c>
      <c r="W11">
        <v>0</v>
      </c>
      <c r="X11">
        <v>3</v>
      </c>
      <c r="Y11">
        <v>0</v>
      </c>
      <c r="Z11">
        <v>0</v>
      </c>
      <c r="AA11">
        <v>6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17</v>
      </c>
      <c r="AL11">
        <v>0</v>
      </c>
      <c r="AM11">
        <v>0</v>
      </c>
      <c r="AN11">
        <v>0</v>
      </c>
      <c r="AO11">
        <v>0</v>
      </c>
      <c r="AP11">
        <v>3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7</v>
      </c>
      <c r="AX11">
        <v>2</v>
      </c>
      <c r="AY11">
        <v>0</v>
      </c>
      <c r="AZ11">
        <v>0</v>
      </c>
      <c r="BA11">
        <v>12</v>
      </c>
      <c r="BB11">
        <v>0</v>
      </c>
      <c r="BC11">
        <v>47</v>
      </c>
      <c r="BD11">
        <v>3</v>
      </c>
      <c r="BE11">
        <v>2</v>
      </c>
      <c r="BF11">
        <v>0</v>
      </c>
      <c r="BG11">
        <v>0</v>
      </c>
      <c r="BH11">
        <v>2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4</v>
      </c>
      <c r="BO11">
        <v>10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33</v>
      </c>
      <c r="BY11">
        <v>42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3</v>
      </c>
      <c r="CO11">
        <v>0</v>
      </c>
      <c r="CP11">
        <v>0</v>
      </c>
    </row>
    <row r="12" spans="1:94" x14ac:dyDescent="0.25">
      <c r="A12" t="s">
        <v>107</v>
      </c>
      <c r="B12" s="1">
        <v>44729</v>
      </c>
      <c r="C12" t="s">
        <v>92</v>
      </c>
      <c r="D12" t="s">
        <v>95</v>
      </c>
      <c r="E12">
        <v>1125</v>
      </c>
      <c r="F12">
        <v>1670.5250000000001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8</v>
      </c>
      <c r="O12">
        <v>15</v>
      </c>
      <c r="P12">
        <v>27</v>
      </c>
      <c r="Q12">
        <v>0</v>
      </c>
      <c r="R12">
        <v>2</v>
      </c>
      <c r="S12">
        <v>0</v>
      </c>
      <c r="T12">
        <v>0</v>
      </c>
      <c r="U12">
        <v>0</v>
      </c>
      <c r="V12">
        <v>0</v>
      </c>
      <c r="W12">
        <v>0</v>
      </c>
      <c r="X12">
        <v>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7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7</v>
      </c>
      <c r="AX12">
        <v>1</v>
      </c>
      <c r="AY12">
        <v>0</v>
      </c>
      <c r="AZ12">
        <v>0</v>
      </c>
      <c r="BA12">
        <v>8</v>
      </c>
      <c r="BB12">
        <v>0</v>
      </c>
      <c r="BC12">
        <v>36</v>
      </c>
      <c r="BD12">
        <v>2</v>
      </c>
      <c r="BE12">
        <v>2</v>
      </c>
      <c r="BF12">
        <v>0</v>
      </c>
      <c r="BG12">
        <v>1</v>
      </c>
      <c r="BH12">
        <v>0</v>
      </c>
      <c r="BI12">
        <v>1</v>
      </c>
      <c r="BJ12">
        <v>0</v>
      </c>
      <c r="BK12">
        <v>0</v>
      </c>
      <c r="BL12">
        <v>2</v>
      </c>
      <c r="BM12">
        <v>0</v>
      </c>
      <c r="BN12">
        <v>3</v>
      </c>
      <c r="BO12">
        <v>2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2</v>
      </c>
      <c r="BX12">
        <v>14</v>
      </c>
      <c r="BY12">
        <v>26</v>
      </c>
      <c r="BZ12">
        <v>0</v>
      </c>
      <c r="CA12">
        <v>1</v>
      </c>
      <c r="CB12">
        <v>0</v>
      </c>
      <c r="CC12">
        <v>1</v>
      </c>
      <c r="CD12">
        <v>0</v>
      </c>
      <c r="CE12">
        <v>0</v>
      </c>
      <c r="CF12">
        <v>1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0</v>
      </c>
      <c r="CM12">
        <v>0</v>
      </c>
      <c r="CN12">
        <v>4</v>
      </c>
      <c r="CO12">
        <v>0</v>
      </c>
      <c r="CP12">
        <v>0</v>
      </c>
    </row>
    <row r="13" spans="1:94" x14ac:dyDescent="0.25">
      <c r="A13" t="s">
        <v>108</v>
      </c>
      <c r="B13" s="1">
        <v>44729</v>
      </c>
      <c r="C13" t="s">
        <v>92</v>
      </c>
      <c r="D13" t="s">
        <v>97</v>
      </c>
      <c r="E13">
        <v>1375</v>
      </c>
      <c r="F13">
        <v>1785.3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</v>
      </c>
      <c r="P13">
        <v>18</v>
      </c>
      <c r="Q13">
        <v>0</v>
      </c>
      <c r="R13">
        <v>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10</v>
      </c>
      <c r="AL13">
        <v>0</v>
      </c>
      <c r="AM13">
        <v>0</v>
      </c>
      <c r="AN13">
        <v>0</v>
      </c>
      <c r="AO13">
        <v>2</v>
      </c>
      <c r="AP13">
        <v>2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11</v>
      </c>
      <c r="AX13">
        <v>1</v>
      </c>
      <c r="AY13">
        <v>0</v>
      </c>
      <c r="AZ13">
        <v>0</v>
      </c>
      <c r="BA13">
        <v>7</v>
      </c>
      <c r="BB13">
        <v>0</v>
      </c>
      <c r="BC13">
        <v>18</v>
      </c>
      <c r="BD13">
        <v>12</v>
      </c>
      <c r="BE13">
        <v>2</v>
      </c>
      <c r="BF13">
        <v>0</v>
      </c>
      <c r="BG13">
        <v>1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25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</row>
    <row r="14" spans="1:94" x14ac:dyDescent="0.25">
      <c r="A14" t="s">
        <v>109</v>
      </c>
      <c r="B14" s="1">
        <v>44728</v>
      </c>
      <c r="C14" t="s">
        <v>103</v>
      </c>
      <c r="D14" t="s">
        <v>93</v>
      </c>
      <c r="E14">
        <v>1300</v>
      </c>
      <c r="F14">
        <v>4945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45</v>
      </c>
      <c r="P14">
        <v>109</v>
      </c>
      <c r="Q14">
        <v>9</v>
      </c>
      <c r="R14">
        <v>53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34</v>
      </c>
      <c r="AL14">
        <v>0</v>
      </c>
      <c r="AM14">
        <v>0</v>
      </c>
      <c r="AN14">
        <v>0</v>
      </c>
      <c r="AO14">
        <v>2</v>
      </c>
      <c r="AP14">
        <v>0</v>
      </c>
      <c r="AQ14">
        <v>0</v>
      </c>
      <c r="AR14">
        <v>2</v>
      </c>
      <c r="AS14">
        <v>0</v>
      </c>
      <c r="AT14">
        <v>0</v>
      </c>
      <c r="AU14">
        <v>0</v>
      </c>
      <c r="AV14">
        <v>2</v>
      </c>
      <c r="AW14">
        <v>22</v>
      </c>
      <c r="AX14">
        <v>0</v>
      </c>
      <c r="AY14">
        <v>0</v>
      </c>
      <c r="AZ14">
        <v>0</v>
      </c>
      <c r="BA14">
        <v>30</v>
      </c>
      <c r="BB14">
        <v>0</v>
      </c>
      <c r="BC14">
        <v>34</v>
      </c>
      <c r="BD14">
        <v>5</v>
      </c>
      <c r="BE14">
        <v>5</v>
      </c>
      <c r="BF14">
        <v>0</v>
      </c>
      <c r="BG14">
        <v>1</v>
      </c>
      <c r="BH14">
        <v>44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12</v>
      </c>
      <c r="BO14">
        <v>33</v>
      </c>
      <c r="BP14">
        <v>0</v>
      </c>
      <c r="BQ14">
        <v>0</v>
      </c>
      <c r="BR14">
        <v>0</v>
      </c>
      <c r="BS14">
        <v>23</v>
      </c>
      <c r="BT14">
        <v>0</v>
      </c>
      <c r="BU14">
        <v>0</v>
      </c>
      <c r="BV14">
        <v>0</v>
      </c>
      <c r="BW14">
        <v>8</v>
      </c>
      <c r="BX14">
        <v>96</v>
      </c>
      <c r="BY14">
        <v>6</v>
      </c>
      <c r="BZ14">
        <v>0</v>
      </c>
      <c r="CA14">
        <v>8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2</v>
      </c>
      <c r="CK14">
        <v>0</v>
      </c>
      <c r="CL14">
        <v>0</v>
      </c>
      <c r="CM14">
        <v>1</v>
      </c>
      <c r="CN14">
        <v>4</v>
      </c>
      <c r="CO14">
        <v>0</v>
      </c>
      <c r="CP14">
        <v>0</v>
      </c>
    </row>
    <row r="15" spans="1:94" x14ac:dyDescent="0.25">
      <c r="A15" t="s">
        <v>110</v>
      </c>
      <c r="B15" s="1">
        <v>44728</v>
      </c>
      <c r="C15" t="s">
        <v>103</v>
      </c>
      <c r="D15" t="s">
        <v>95</v>
      </c>
      <c r="E15">
        <v>1225</v>
      </c>
      <c r="F15">
        <v>1755.895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</v>
      </c>
      <c r="O15">
        <v>49</v>
      </c>
      <c r="P15">
        <v>26</v>
      </c>
      <c r="Q15">
        <v>7</v>
      </c>
      <c r="R15">
        <v>39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11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9</v>
      </c>
      <c r="AX15">
        <v>0</v>
      </c>
      <c r="AY15">
        <v>0</v>
      </c>
      <c r="AZ15">
        <v>0</v>
      </c>
      <c r="BA15">
        <v>22</v>
      </c>
      <c r="BB15">
        <v>0</v>
      </c>
      <c r="BC15">
        <v>20</v>
      </c>
      <c r="BD15">
        <v>1</v>
      </c>
      <c r="BE15">
        <v>2</v>
      </c>
      <c r="BF15">
        <v>0</v>
      </c>
      <c r="BG15">
        <v>0</v>
      </c>
      <c r="BH15">
        <v>7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6</v>
      </c>
      <c r="BO15">
        <v>8</v>
      </c>
      <c r="BP15">
        <v>0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2</v>
      </c>
      <c r="BX15">
        <v>33</v>
      </c>
      <c r="BY15">
        <v>2</v>
      </c>
      <c r="BZ15">
        <v>0</v>
      </c>
      <c r="CA15">
        <v>3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</v>
      </c>
      <c r="CN15">
        <v>2</v>
      </c>
      <c r="CO15">
        <v>0</v>
      </c>
      <c r="CP15">
        <v>0</v>
      </c>
    </row>
    <row r="16" spans="1:94" x14ac:dyDescent="0.25">
      <c r="A16" t="s">
        <v>111</v>
      </c>
      <c r="B16" s="1">
        <v>44728</v>
      </c>
      <c r="C16" t="s">
        <v>103</v>
      </c>
      <c r="D16" t="s">
        <v>97</v>
      </c>
      <c r="E16">
        <v>1275</v>
      </c>
      <c r="F16">
        <v>3245.16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0</v>
      </c>
      <c r="Q16">
        <v>0</v>
      </c>
      <c r="R16">
        <v>64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4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</v>
      </c>
      <c r="AX16">
        <v>2</v>
      </c>
      <c r="AY16">
        <v>0</v>
      </c>
      <c r="AZ16">
        <v>0</v>
      </c>
      <c r="BA16">
        <v>1</v>
      </c>
      <c r="BB16">
        <v>0</v>
      </c>
      <c r="BC16">
        <v>6</v>
      </c>
      <c r="BD16">
        <v>3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9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0</v>
      </c>
      <c r="BZ16">
        <v>0</v>
      </c>
      <c r="CA16">
        <v>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</row>
    <row r="17" spans="1:94" x14ac:dyDescent="0.25">
      <c r="A17" t="s">
        <v>112</v>
      </c>
      <c r="B17" s="1">
        <v>44727</v>
      </c>
      <c r="C17" t="s">
        <v>99</v>
      </c>
      <c r="D17" t="s">
        <v>93</v>
      </c>
      <c r="E17">
        <v>1525</v>
      </c>
      <c r="F17">
        <v>4710.7749999999996</v>
      </c>
      <c r="G17">
        <v>0</v>
      </c>
      <c r="H17">
        <v>0</v>
      </c>
      <c r="I17">
        <v>0</v>
      </c>
      <c r="J17">
        <v>0</v>
      </c>
      <c r="K17">
        <v>0</v>
      </c>
      <c r="L17">
        <v>6</v>
      </c>
      <c r="M17">
        <v>0</v>
      </c>
      <c r="N17">
        <v>5</v>
      </c>
      <c r="O17">
        <v>9</v>
      </c>
      <c r="P17">
        <v>34</v>
      </c>
      <c r="Q17">
        <v>3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5</v>
      </c>
      <c r="AL17">
        <v>0</v>
      </c>
      <c r="AM17">
        <v>0</v>
      </c>
      <c r="AN17">
        <v>0</v>
      </c>
      <c r="AO17">
        <v>0</v>
      </c>
      <c r="AP17">
        <v>3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2</v>
      </c>
      <c r="AX17">
        <v>15</v>
      </c>
      <c r="AY17">
        <v>0</v>
      </c>
      <c r="AZ17">
        <v>0</v>
      </c>
      <c r="BA17">
        <v>24</v>
      </c>
      <c r="BB17">
        <v>0</v>
      </c>
      <c r="BC17">
        <v>77</v>
      </c>
      <c r="BD17">
        <v>15</v>
      </c>
      <c r="BE17">
        <v>5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13</v>
      </c>
      <c r="BO17">
        <v>5</v>
      </c>
      <c r="BP17">
        <v>0</v>
      </c>
      <c r="BQ17">
        <v>1</v>
      </c>
      <c r="BR17">
        <v>3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18</v>
      </c>
      <c r="BY17">
        <v>18</v>
      </c>
      <c r="BZ17">
        <v>0</v>
      </c>
      <c r="CA17">
        <v>0</v>
      </c>
      <c r="CB17">
        <v>1</v>
      </c>
      <c r="CC17">
        <v>0</v>
      </c>
      <c r="CD17">
        <v>2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</v>
      </c>
      <c r="CL17">
        <v>0</v>
      </c>
      <c r="CM17">
        <v>0</v>
      </c>
      <c r="CN17">
        <v>1</v>
      </c>
      <c r="CO17">
        <v>0</v>
      </c>
      <c r="CP17">
        <v>0</v>
      </c>
    </row>
    <row r="18" spans="1:94" x14ac:dyDescent="0.25">
      <c r="A18" t="s">
        <v>113</v>
      </c>
      <c r="B18" s="1">
        <v>44727</v>
      </c>
      <c r="C18" t="s">
        <v>99</v>
      </c>
      <c r="D18" t="s">
        <v>95</v>
      </c>
      <c r="E18">
        <v>3175</v>
      </c>
      <c r="F18">
        <v>4493</v>
      </c>
      <c r="G18">
        <v>1</v>
      </c>
      <c r="H18">
        <v>0</v>
      </c>
      <c r="I18">
        <v>0</v>
      </c>
      <c r="J18">
        <v>0</v>
      </c>
      <c r="K18">
        <v>0</v>
      </c>
      <c r="L18">
        <v>7</v>
      </c>
      <c r="M18">
        <v>0</v>
      </c>
      <c r="N18">
        <v>12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</v>
      </c>
      <c r="AK18">
        <v>6</v>
      </c>
      <c r="AL18">
        <v>0</v>
      </c>
      <c r="AM18">
        <v>0</v>
      </c>
      <c r="AN18">
        <v>0</v>
      </c>
      <c r="AO18">
        <v>0</v>
      </c>
      <c r="AP18">
        <v>2</v>
      </c>
      <c r="AQ18">
        <v>0</v>
      </c>
      <c r="AR18">
        <v>3</v>
      </c>
      <c r="AS18">
        <v>0</v>
      </c>
      <c r="AT18">
        <v>0</v>
      </c>
      <c r="AU18">
        <v>0</v>
      </c>
      <c r="AV18">
        <v>0</v>
      </c>
      <c r="AW18">
        <v>4</v>
      </c>
      <c r="AX18">
        <v>18</v>
      </c>
      <c r="AY18">
        <v>0</v>
      </c>
      <c r="AZ18">
        <v>0</v>
      </c>
      <c r="BA18">
        <v>51</v>
      </c>
      <c r="BB18">
        <v>0</v>
      </c>
      <c r="BC18">
        <v>83</v>
      </c>
      <c r="BD18">
        <v>22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13</v>
      </c>
      <c r="BO18">
        <v>7</v>
      </c>
      <c r="BP18">
        <v>0</v>
      </c>
      <c r="BQ18">
        <v>0</v>
      </c>
      <c r="BR18">
        <v>10</v>
      </c>
      <c r="BS18">
        <v>0</v>
      </c>
      <c r="BT18">
        <v>0</v>
      </c>
      <c r="BU18">
        <v>0</v>
      </c>
      <c r="BV18">
        <v>2</v>
      </c>
      <c r="BW18">
        <v>0</v>
      </c>
      <c r="BX18">
        <v>30</v>
      </c>
      <c r="BY18">
        <v>66</v>
      </c>
      <c r="BZ18">
        <v>0</v>
      </c>
      <c r="CA18">
        <v>3</v>
      </c>
      <c r="CB18">
        <v>0</v>
      </c>
      <c r="CC18">
        <v>0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1</v>
      </c>
      <c r="CK18">
        <v>0</v>
      </c>
      <c r="CL18">
        <v>0</v>
      </c>
      <c r="CM18">
        <v>0</v>
      </c>
      <c r="CN18">
        <v>2</v>
      </c>
      <c r="CO18">
        <v>0</v>
      </c>
      <c r="CP18">
        <v>0</v>
      </c>
    </row>
    <row r="19" spans="1:94" x14ac:dyDescent="0.25">
      <c r="A19" t="s">
        <v>114</v>
      </c>
      <c r="B19" s="1">
        <v>44727</v>
      </c>
      <c r="C19" t="s">
        <v>99</v>
      </c>
      <c r="D19" t="s">
        <v>97</v>
      </c>
      <c r="E19">
        <v>2875</v>
      </c>
      <c r="F19">
        <v>1055.7850000000001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12</v>
      </c>
      <c r="P19">
        <v>12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</v>
      </c>
      <c r="AX19">
        <v>3</v>
      </c>
      <c r="AY19">
        <v>1</v>
      </c>
      <c r="AZ19">
        <v>0</v>
      </c>
      <c r="BA19">
        <v>9</v>
      </c>
      <c r="BB19">
        <v>0</v>
      </c>
      <c r="BC19">
        <v>20</v>
      </c>
      <c r="BD19">
        <v>7</v>
      </c>
      <c r="BE19">
        <v>5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3</v>
      </c>
      <c r="BO19">
        <v>1</v>
      </c>
      <c r="BP19">
        <v>0</v>
      </c>
      <c r="BQ19">
        <v>0</v>
      </c>
      <c r="BR19">
        <v>0</v>
      </c>
      <c r="BS19">
        <v>1</v>
      </c>
      <c r="BT19">
        <v>0</v>
      </c>
      <c r="BU19">
        <v>0</v>
      </c>
      <c r="BV19">
        <v>1</v>
      </c>
      <c r="BW19">
        <v>1</v>
      </c>
      <c r="BX19">
        <v>9</v>
      </c>
      <c r="BY19">
        <v>13</v>
      </c>
      <c r="BZ19">
        <v>0</v>
      </c>
      <c r="CA19">
        <v>0</v>
      </c>
      <c r="CB19">
        <v>0</v>
      </c>
      <c r="CC19">
        <v>0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</row>
    <row r="20" spans="1:94" x14ac:dyDescent="0.25">
      <c r="A20" t="s">
        <v>115</v>
      </c>
      <c r="B20" s="1">
        <v>44814</v>
      </c>
      <c r="C20" t="s">
        <v>99</v>
      </c>
      <c r="D20" t="s">
        <v>93</v>
      </c>
      <c r="E20">
        <v>2375</v>
      </c>
      <c r="F20">
        <v>9605</v>
      </c>
      <c r="G20">
        <v>5</v>
      </c>
      <c r="H20">
        <v>0</v>
      </c>
      <c r="I20">
        <v>0</v>
      </c>
      <c r="J20">
        <v>0</v>
      </c>
      <c r="K20">
        <v>0</v>
      </c>
      <c r="L20">
        <v>3</v>
      </c>
      <c r="M20">
        <v>0</v>
      </c>
      <c r="N20">
        <v>0</v>
      </c>
      <c r="O20">
        <v>0</v>
      </c>
      <c r="P20">
        <v>7</v>
      </c>
      <c r="Q20">
        <v>3</v>
      </c>
      <c r="R20">
        <v>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2</v>
      </c>
      <c r="AC20">
        <v>0</v>
      </c>
      <c r="AD20">
        <v>0</v>
      </c>
      <c r="AE20">
        <v>0</v>
      </c>
      <c r="AF20">
        <v>0</v>
      </c>
      <c r="AG20">
        <v>3</v>
      </c>
      <c r="AH20">
        <v>0</v>
      </c>
      <c r="AI20">
        <v>0</v>
      </c>
      <c r="AJ20">
        <v>0</v>
      </c>
      <c r="AK20">
        <v>12</v>
      </c>
      <c r="AL20">
        <v>0</v>
      </c>
      <c r="AM20">
        <v>0</v>
      </c>
      <c r="AN20">
        <v>0</v>
      </c>
      <c r="AO20">
        <v>9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9</v>
      </c>
      <c r="AX20">
        <v>4</v>
      </c>
      <c r="AY20">
        <v>0</v>
      </c>
      <c r="AZ20">
        <v>0</v>
      </c>
      <c r="BA20">
        <v>14</v>
      </c>
      <c r="BB20">
        <v>0</v>
      </c>
      <c r="BC20">
        <v>45</v>
      </c>
      <c r="BD20">
        <v>14</v>
      </c>
      <c r="BE20">
        <v>1</v>
      </c>
      <c r="BF20">
        <v>2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0</v>
      </c>
      <c r="BN20">
        <v>7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39</v>
      </c>
      <c r="BY20">
        <v>15</v>
      </c>
      <c r="BZ20">
        <v>1</v>
      </c>
      <c r="CA20">
        <v>6</v>
      </c>
      <c r="CB20">
        <v>0</v>
      </c>
      <c r="CC20">
        <v>0</v>
      </c>
      <c r="CD20">
        <v>2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4</v>
      </c>
      <c r="CK20">
        <v>0</v>
      </c>
      <c r="CL20">
        <v>0</v>
      </c>
      <c r="CM20">
        <v>0</v>
      </c>
      <c r="CN20">
        <v>5</v>
      </c>
      <c r="CO20">
        <v>0</v>
      </c>
      <c r="CP20">
        <v>0</v>
      </c>
    </row>
    <row r="21" spans="1:94" x14ac:dyDescent="0.25">
      <c r="A21" t="s">
        <v>116</v>
      </c>
      <c r="B21" s="1">
        <v>44814</v>
      </c>
      <c r="C21" t="s">
        <v>99</v>
      </c>
      <c r="D21" t="s">
        <v>95</v>
      </c>
      <c r="E21">
        <v>875</v>
      </c>
      <c r="F21">
        <v>945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7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1</v>
      </c>
      <c r="CO21">
        <v>0</v>
      </c>
      <c r="CP21">
        <v>0</v>
      </c>
    </row>
    <row r="22" spans="1:94" x14ac:dyDescent="0.25">
      <c r="A22" t="s">
        <v>117</v>
      </c>
      <c r="B22" s="1">
        <v>44814</v>
      </c>
      <c r="C22" t="s">
        <v>99</v>
      </c>
      <c r="D22" t="s">
        <v>97</v>
      </c>
      <c r="E22">
        <v>650</v>
      </c>
      <c r="F22">
        <v>3065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201</v>
      </c>
      <c r="Q22">
        <v>12</v>
      </c>
      <c r="R22">
        <v>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7</v>
      </c>
      <c r="AL22">
        <v>0</v>
      </c>
      <c r="AM22">
        <v>0</v>
      </c>
      <c r="AN22">
        <v>0</v>
      </c>
      <c r="AO22">
        <v>2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17</v>
      </c>
      <c r="AX22">
        <v>6</v>
      </c>
      <c r="AY22">
        <v>0</v>
      </c>
      <c r="AZ22">
        <v>0</v>
      </c>
      <c r="BA22">
        <v>3</v>
      </c>
      <c r="BB22">
        <v>0</v>
      </c>
      <c r="BC22">
        <v>46</v>
      </c>
      <c r="BD22">
        <v>5</v>
      </c>
      <c r="BE22">
        <v>0</v>
      </c>
      <c r="BF22">
        <v>0</v>
      </c>
      <c r="BG22">
        <v>2</v>
      </c>
      <c r="BH22">
        <v>7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13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1</v>
      </c>
      <c r="BX22">
        <v>37</v>
      </c>
      <c r="BY22">
        <v>6</v>
      </c>
      <c r="BZ22">
        <v>0</v>
      </c>
      <c r="CA22">
        <v>2</v>
      </c>
      <c r="CB22">
        <v>0</v>
      </c>
      <c r="CC22">
        <v>0</v>
      </c>
      <c r="CD22">
        <v>3</v>
      </c>
      <c r="CE22">
        <v>0</v>
      </c>
      <c r="CF22">
        <v>0</v>
      </c>
      <c r="CG22">
        <v>0</v>
      </c>
      <c r="CH22">
        <v>0</v>
      </c>
      <c r="CI22">
        <v>1</v>
      </c>
      <c r="CJ22">
        <v>1</v>
      </c>
      <c r="CK22">
        <v>1</v>
      </c>
      <c r="CL22">
        <v>0</v>
      </c>
      <c r="CM22">
        <v>0</v>
      </c>
      <c r="CN22">
        <v>3</v>
      </c>
      <c r="CO22">
        <v>0</v>
      </c>
      <c r="CP22">
        <v>0</v>
      </c>
    </row>
    <row r="23" spans="1:94" x14ac:dyDescent="0.25">
      <c r="A23" t="s">
        <v>118</v>
      </c>
      <c r="B23" s="1">
        <v>44815</v>
      </c>
      <c r="C23" t="s">
        <v>103</v>
      </c>
      <c r="D23" t="s">
        <v>93</v>
      </c>
      <c r="E23">
        <v>1125</v>
      </c>
      <c r="F23">
        <v>5530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54</v>
      </c>
      <c r="Q23">
        <v>5</v>
      </c>
      <c r="R23">
        <v>42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2</v>
      </c>
      <c r="AB23">
        <v>2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17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30</v>
      </c>
      <c r="AX23">
        <v>12</v>
      </c>
      <c r="AY23">
        <v>0</v>
      </c>
      <c r="AZ23">
        <v>0</v>
      </c>
      <c r="BA23">
        <v>13</v>
      </c>
      <c r="BB23">
        <v>0</v>
      </c>
      <c r="BC23">
        <v>81</v>
      </c>
      <c r="BD23">
        <v>3</v>
      </c>
      <c r="BE23">
        <v>3</v>
      </c>
      <c r="BF23">
        <v>0</v>
      </c>
      <c r="BG23">
        <v>0</v>
      </c>
      <c r="BH23">
        <v>17</v>
      </c>
      <c r="BI23">
        <v>0</v>
      </c>
      <c r="BJ23">
        <v>0</v>
      </c>
      <c r="BK23">
        <v>0</v>
      </c>
      <c r="BL23">
        <v>1</v>
      </c>
      <c r="BM23">
        <v>0</v>
      </c>
      <c r="BN23">
        <v>15</v>
      </c>
      <c r="BO23">
        <v>0</v>
      </c>
      <c r="BP23">
        <v>0</v>
      </c>
      <c r="BQ23">
        <v>0</v>
      </c>
      <c r="BR23">
        <v>2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81</v>
      </c>
      <c r="BY23">
        <v>16</v>
      </c>
      <c r="BZ23">
        <v>3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2</v>
      </c>
      <c r="CO23">
        <v>0</v>
      </c>
      <c r="CP23">
        <v>0</v>
      </c>
    </row>
    <row r="24" spans="1:94" x14ac:dyDescent="0.25">
      <c r="A24" t="s">
        <v>119</v>
      </c>
      <c r="B24" s="1">
        <v>44815</v>
      </c>
      <c r="C24" t="s">
        <v>103</v>
      </c>
      <c r="D24" t="s">
        <v>95</v>
      </c>
      <c r="E24">
        <v>1450</v>
      </c>
      <c r="F24">
        <v>8725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82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3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5</v>
      </c>
      <c r="AX24">
        <v>3</v>
      </c>
      <c r="AY24">
        <v>0</v>
      </c>
      <c r="AZ24">
        <v>0</v>
      </c>
      <c r="BA24">
        <v>2</v>
      </c>
      <c r="BB24">
        <v>0</v>
      </c>
      <c r="BC24">
        <v>25</v>
      </c>
      <c r="BD24">
        <v>4</v>
      </c>
      <c r="BE24">
        <v>1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4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5</v>
      </c>
      <c r="BY24">
        <v>6</v>
      </c>
      <c r="BZ24">
        <v>0</v>
      </c>
      <c r="CA24">
        <v>0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0</v>
      </c>
      <c r="CM24">
        <v>0</v>
      </c>
      <c r="CN24">
        <v>1</v>
      </c>
      <c r="CO24">
        <v>0</v>
      </c>
      <c r="CP24">
        <v>0</v>
      </c>
    </row>
    <row r="25" spans="1:94" x14ac:dyDescent="0.25">
      <c r="A25" t="s">
        <v>123</v>
      </c>
      <c r="B25" s="1">
        <v>44815</v>
      </c>
      <c r="C25" t="s">
        <v>103</v>
      </c>
      <c r="D25" t="s">
        <v>97</v>
      </c>
      <c r="E25">
        <v>1500</v>
      </c>
      <c r="F25">
        <v>7125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7</v>
      </c>
      <c r="Q25">
        <v>4</v>
      </c>
      <c r="R25">
        <v>118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16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2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29</v>
      </c>
      <c r="AX25">
        <v>10</v>
      </c>
      <c r="AY25">
        <v>0</v>
      </c>
      <c r="AZ25">
        <v>0</v>
      </c>
      <c r="BA25">
        <v>12</v>
      </c>
      <c r="BB25">
        <v>0</v>
      </c>
      <c r="BC25">
        <v>53</v>
      </c>
      <c r="BD25">
        <v>2</v>
      </c>
      <c r="BE25">
        <v>2</v>
      </c>
      <c r="BF25">
        <v>0</v>
      </c>
      <c r="BG25">
        <v>0</v>
      </c>
      <c r="BH25">
        <v>13</v>
      </c>
      <c r="BI25">
        <v>1</v>
      </c>
      <c r="BJ25">
        <v>0</v>
      </c>
      <c r="BK25">
        <v>0</v>
      </c>
      <c r="BL25">
        <v>1</v>
      </c>
      <c r="BM25">
        <v>0</v>
      </c>
      <c r="BN25">
        <v>18</v>
      </c>
      <c r="BO25">
        <v>0</v>
      </c>
      <c r="BP25">
        <v>0</v>
      </c>
      <c r="BQ25">
        <v>0</v>
      </c>
      <c r="BR25">
        <v>2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80</v>
      </c>
      <c r="BY25">
        <v>19</v>
      </c>
      <c r="BZ25">
        <v>3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0</v>
      </c>
      <c r="CM25">
        <v>0</v>
      </c>
      <c r="CN25">
        <v>3</v>
      </c>
      <c r="CO25">
        <v>0</v>
      </c>
      <c r="CP25">
        <v>0</v>
      </c>
    </row>
    <row r="26" spans="1:94" x14ac:dyDescent="0.25">
      <c r="A26" t="s">
        <v>120</v>
      </c>
      <c r="B26" s="1">
        <v>44816</v>
      </c>
      <c r="C26" t="s">
        <v>92</v>
      </c>
      <c r="D26" t="s">
        <v>93</v>
      </c>
      <c r="E26">
        <v>750</v>
      </c>
      <c r="F26">
        <v>2575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101</v>
      </c>
      <c r="Q26">
        <v>1</v>
      </c>
      <c r="R26">
        <v>6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11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4</v>
      </c>
      <c r="AS26">
        <v>0</v>
      </c>
      <c r="AT26">
        <v>0</v>
      </c>
      <c r="AU26">
        <v>0</v>
      </c>
      <c r="AV26">
        <v>0</v>
      </c>
      <c r="AW26">
        <v>28</v>
      </c>
      <c r="AX26">
        <v>6</v>
      </c>
      <c r="AY26">
        <v>0</v>
      </c>
      <c r="AZ26">
        <v>1</v>
      </c>
      <c r="BA26">
        <v>9</v>
      </c>
      <c r="BB26">
        <v>0</v>
      </c>
      <c r="BC26">
        <v>92</v>
      </c>
      <c r="BD26">
        <v>2</v>
      </c>
      <c r="BE26">
        <v>4</v>
      </c>
      <c r="BF26">
        <v>0</v>
      </c>
      <c r="BG26">
        <v>0</v>
      </c>
      <c r="BH26">
        <v>18</v>
      </c>
      <c r="BI26">
        <v>1</v>
      </c>
      <c r="BJ26">
        <v>0</v>
      </c>
      <c r="BK26">
        <v>0</v>
      </c>
      <c r="BL26">
        <v>1</v>
      </c>
      <c r="BM26">
        <v>0</v>
      </c>
      <c r="BN26">
        <v>8</v>
      </c>
      <c r="BO26">
        <v>0</v>
      </c>
      <c r="BP26">
        <v>0</v>
      </c>
      <c r="BQ26">
        <v>0</v>
      </c>
      <c r="BR26">
        <v>2</v>
      </c>
      <c r="BS26">
        <v>0</v>
      </c>
      <c r="BT26">
        <v>0</v>
      </c>
      <c r="BU26">
        <v>1</v>
      </c>
      <c r="BV26">
        <v>0</v>
      </c>
      <c r="BW26">
        <v>5</v>
      </c>
      <c r="BX26">
        <v>24</v>
      </c>
      <c r="BY26">
        <v>11</v>
      </c>
      <c r="BZ26">
        <v>4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2</v>
      </c>
      <c r="CK26">
        <v>0</v>
      </c>
      <c r="CL26">
        <v>0</v>
      </c>
      <c r="CM26">
        <v>4</v>
      </c>
      <c r="CN26">
        <v>1</v>
      </c>
      <c r="CO26">
        <v>0</v>
      </c>
      <c r="CP26">
        <v>0</v>
      </c>
    </row>
    <row r="27" spans="1:94" x14ac:dyDescent="0.25">
      <c r="A27" t="s">
        <v>121</v>
      </c>
      <c r="B27" s="1">
        <v>44816</v>
      </c>
      <c r="C27" t="s">
        <v>92</v>
      </c>
      <c r="D27" t="s">
        <v>95</v>
      </c>
      <c r="E27">
        <v>1000</v>
      </c>
      <c r="F27">
        <v>2630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13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3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6</v>
      </c>
      <c r="AX27">
        <v>1</v>
      </c>
      <c r="AY27">
        <v>0</v>
      </c>
      <c r="AZ27">
        <v>0</v>
      </c>
      <c r="BA27">
        <v>7</v>
      </c>
      <c r="BB27">
        <v>0</v>
      </c>
      <c r="BC27">
        <v>103</v>
      </c>
      <c r="BD27">
        <v>3</v>
      </c>
      <c r="BE27">
        <v>1</v>
      </c>
      <c r="BF27">
        <v>0</v>
      </c>
      <c r="BG27">
        <v>0</v>
      </c>
      <c r="BH27">
        <v>3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5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3</v>
      </c>
      <c r="BY27">
        <v>7</v>
      </c>
      <c r="BZ27">
        <v>0</v>
      </c>
      <c r="CA27">
        <v>0</v>
      </c>
      <c r="CB27">
        <v>0</v>
      </c>
      <c r="CC27">
        <v>1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7</v>
      </c>
      <c r="CN27">
        <v>0</v>
      </c>
      <c r="CO27">
        <v>0</v>
      </c>
      <c r="CP27">
        <v>0</v>
      </c>
    </row>
    <row r="28" spans="1:94" x14ac:dyDescent="0.25">
      <c r="A28" t="s">
        <v>122</v>
      </c>
      <c r="B28" s="1">
        <v>44816</v>
      </c>
      <c r="C28" t="s">
        <v>92</v>
      </c>
      <c r="D28" t="s">
        <v>97</v>
      </c>
      <c r="E28">
        <v>1300</v>
      </c>
      <c r="F28">
        <v>7625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42</v>
      </c>
      <c r="Q28">
        <v>12</v>
      </c>
      <c r="R28">
        <v>3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51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65</v>
      </c>
      <c r="AX28">
        <v>17</v>
      </c>
      <c r="AY28">
        <v>0</v>
      </c>
      <c r="AZ28">
        <v>2</v>
      </c>
      <c r="BA28">
        <v>14</v>
      </c>
      <c r="BB28">
        <v>0</v>
      </c>
      <c r="BC28">
        <v>71</v>
      </c>
      <c r="BD28">
        <v>9</v>
      </c>
      <c r="BE28">
        <v>1</v>
      </c>
      <c r="BF28">
        <v>0</v>
      </c>
      <c r="BG28">
        <v>0</v>
      </c>
      <c r="BH28">
        <v>9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3</v>
      </c>
      <c r="BO28">
        <v>1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1</v>
      </c>
      <c r="BX28">
        <v>107</v>
      </c>
      <c r="BY28">
        <v>9</v>
      </c>
      <c r="BZ28">
        <v>7</v>
      </c>
      <c r="CA28">
        <v>0</v>
      </c>
      <c r="CB28">
        <v>0</v>
      </c>
      <c r="CC28">
        <v>1</v>
      </c>
      <c r="CD28">
        <v>5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8</v>
      </c>
      <c r="CK28">
        <v>0</v>
      </c>
      <c r="CL28">
        <v>0</v>
      </c>
      <c r="CM28">
        <v>0</v>
      </c>
      <c r="CN28">
        <v>5</v>
      </c>
      <c r="CO28">
        <v>0</v>
      </c>
      <c r="CP28">
        <v>0</v>
      </c>
    </row>
    <row r="29" spans="1:94" x14ac:dyDescent="0.25">
      <c r="A29" t="s">
        <v>124</v>
      </c>
      <c r="B29" s="1">
        <v>44916</v>
      </c>
      <c r="C29" t="s">
        <v>99</v>
      </c>
      <c r="D29" t="s">
        <v>93</v>
      </c>
      <c r="E29">
        <v>1125</v>
      </c>
      <c r="F29">
        <v>575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6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2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3</v>
      </c>
      <c r="AY29">
        <v>0</v>
      </c>
      <c r="AZ29">
        <v>1</v>
      </c>
      <c r="BA29">
        <v>5</v>
      </c>
      <c r="BB29">
        <v>0</v>
      </c>
      <c r="BC29">
        <v>13</v>
      </c>
      <c r="BD29">
        <v>0</v>
      </c>
      <c r="BE29">
        <v>1</v>
      </c>
      <c r="BF29">
        <v>0</v>
      </c>
      <c r="BG29">
        <v>0</v>
      </c>
      <c r="BH29">
        <v>5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7</v>
      </c>
      <c r="BT29">
        <v>0</v>
      </c>
      <c r="BU29">
        <v>0</v>
      </c>
      <c r="BV29">
        <v>0</v>
      </c>
      <c r="BW29">
        <v>0</v>
      </c>
      <c r="BX29">
        <v>5</v>
      </c>
      <c r="BY29">
        <v>9</v>
      </c>
      <c r="BZ29">
        <v>0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</row>
    <row r="30" spans="1:94" x14ac:dyDescent="0.25">
      <c r="A30" t="s">
        <v>125</v>
      </c>
      <c r="B30" s="1">
        <v>44916</v>
      </c>
      <c r="C30" t="s">
        <v>99</v>
      </c>
      <c r="D30" t="s">
        <v>95</v>
      </c>
      <c r="E30">
        <v>950</v>
      </c>
      <c r="F30">
        <v>930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8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2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1</v>
      </c>
      <c r="AY30">
        <v>0</v>
      </c>
      <c r="AZ30">
        <v>0</v>
      </c>
      <c r="BA30">
        <v>2</v>
      </c>
      <c r="BB30">
        <v>0</v>
      </c>
      <c r="BC30">
        <v>17</v>
      </c>
      <c r="BD30">
        <v>1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6</v>
      </c>
      <c r="BY30">
        <v>4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</row>
    <row r="31" spans="1:94" x14ac:dyDescent="0.25">
      <c r="A31" t="s">
        <v>126</v>
      </c>
      <c r="B31" s="1">
        <v>44916</v>
      </c>
      <c r="C31" t="s">
        <v>99</v>
      </c>
      <c r="D31" t="s">
        <v>97</v>
      </c>
      <c r="E31">
        <v>925</v>
      </c>
      <c r="F31">
        <v>1010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</v>
      </c>
      <c r="O31">
        <v>0</v>
      </c>
      <c r="P31">
        <v>1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2</v>
      </c>
      <c r="AY31">
        <v>1</v>
      </c>
      <c r="AZ31">
        <v>0</v>
      </c>
      <c r="BA31">
        <v>2</v>
      </c>
      <c r="BB31">
        <v>0</v>
      </c>
      <c r="BC31">
        <v>3</v>
      </c>
      <c r="BD31">
        <v>3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1</v>
      </c>
      <c r="BQ31">
        <v>0</v>
      </c>
      <c r="BR31">
        <v>0</v>
      </c>
      <c r="BS31">
        <v>5</v>
      </c>
      <c r="BT31">
        <v>0</v>
      </c>
      <c r="BU31">
        <v>0</v>
      </c>
      <c r="BV31">
        <v>0</v>
      </c>
      <c r="BW31">
        <v>0</v>
      </c>
      <c r="BX31">
        <v>5</v>
      </c>
      <c r="BY31">
        <v>50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1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</row>
    <row r="32" spans="1:94" x14ac:dyDescent="0.25">
      <c r="A32" t="s">
        <v>127</v>
      </c>
      <c r="B32" s="1">
        <v>44916</v>
      </c>
      <c r="C32" t="s">
        <v>103</v>
      </c>
      <c r="D32" t="s">
        <v>93</v>
      </c>
      <c r="E32">
        <v>1075</v>
      </c>
      <c r="F32">
        <v>2325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11</v>
      </c>
      <c r="O32">
        <v>1</v>
      </c>
      <c r="P32">
        <v>22</v>
      </c>
      <c r="Q32">
        <v>0</v>
      </c>
      <c r="R32">
        <v>80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4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3</v>
      </c>
      <c r="AS32">
        <v>0</v>
      </c>
      <c r="AT32">
        <v>1</v>
      </c>
      <c r="AU32">
        <v>0</v>
      </c>
      <c r="AV32">
        <v>0</v>
      </c>
      <c r="AW32">
        <v>7</v>
      </c>
      <c r="AX32">
        <v>2</v>
      </c>
      <c r="AY32">
        <v>0</v>
      </c>
      <c r="AZ32">
        <v>0</v>
      </c>
      <c r="BA32">
        <v>14</v>
      </c>
      <c r="BB32">
        <v>0</v>
      </c>
      <c r="BC32">
        <v>22</v>
      </c>
      <c r="BD32">
        <v>1</v>
      </c>
      <c r="BE32">
        <v>0</v>
      </c>
      <c r="BF32">
        <v>0</v>
      </c>
      <c r="BG32">
        <v>0</v>
      </c>
      <c r="BH32">
        <v>14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20</v>
      </c>
      <c r="BP32">
        <v>2</v>
      </c>
      <c r="BQ32">
        <v>1</v>
      </c>
      <c r="BR32">
        <v>0</v>
      </c>
      <c r="BS32">
        <v>17</v>
      </c>
      <c r="BT32">
        <v>0</v>
      </c>
      <c r="BU32">
        <v>0</v>
      </c>
      <c r="BV32">
        <v>0</v>
      </c>
      <c r="BW32">
        <v>0</v>
      </c>
      <c r="BX32">
        <v>10</v>
      </c>
      <c r="BY32">
        <v>7</v>
      </c>
      <c r="BZ32">
        <v>0</v>
      </c>
      <c r="CA32">
        <v>2</v>
      </c>
      <c r="CB32">
        <v>0</v>
      </c>
      <c r="CC32">
        <v>2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2</v>
      </c>
      <c r="CN32">
        <v>0</v>
      </c>
      <c r="CO32">
        <v>0</v>
      </c>
      <c r="CP32">
        <v>0</v>
      </c>
    </row>
    <row r="33" spans="1:94" x14ac:dyDescent="0.25">
      <c r="A33" t="s">
        <v>128</v>
      </c>
      <c r="B33" s="1">
        <v>44916</v>
      </c>
      <c r="C33" t="s">
        <v>103</v>
      </c>
      <c r="D33" t="s">
        <v>95</v>
      </c>
      <c r="E33">
        <v>975</v>
      </c>
      <c r="F33">
        <v>2065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27</v>
      </c>
      <c r="O33">
        <v>0</v>
      </c>
      <c r="P33">
        <v>14</v>
      </c>
      <c r="Q33">
        <v>0</v>
      </c>
      <c r="R33">
        <v>61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3</v>
      </c>
      <c r="AS33">
        <v>0</v>
      </c>
      <c r="AT33">
        <v>1</v>
      </c>
      <c r="AU33">
        <v>0</v>
      </c>
      <c r="AV33">
        <v>0</v>
      </c>
      <c r="AW33">
        <v>7</v>
      </c>
      <c r="AX33">
        <v>2</v>
      </c>
      <c r="AY33">
        <v>0</v>
      </c>
      <c r="AZ33">
        <v>0</v>
      </c>
      <c r="BA33">
        <v>2</v>
      </c>
      <c r="BB33">
        <v>0</v>
      </c>
      <c r="BC33">
        <v>43</v>
      </c>
      <c r="BD33">
        <v>1</v>
      </c>
      <c r="BE33">
        <v>1</v>
      </c>
      <c r="BF33">
        <v>0</v>
      </c>
      <c r="BG33">
        <v>0</v>
      </c>
      <c r="BH33">
        <v>32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31</v>
      </c>
      <c r="BP33">
        <v>7</v>
      </c>
      <c r="BQ33">
        <v>0</v>
      </c>
      <c r="BR33">
        <v>0</v>
      </c>
      <c r="BS33">
        <v>21</v>
      </c>
      <c r="BT33">
        <v>0</v>
      </c>
      <c r="BU33">
        <v>0</v>
      </c>
      <c r="BV33">
        <v>0</v>
      </c>
      <c r="BW33">
        <v>0</v>
      </c>
      <c r="BX33">
        <v>26</v>
      </c>
      <c r="BY33">
        <v>13</v>
      </c>
      <c r="BZ33">
        <v>0</v>
      </c>
      <c r="CA33">
        <v>1</v>
      </c>
      <c r="CB33">
        <v>0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3</v>
      </c>
      <c r="CN33">
        <v>1</v>
      </c>
      <c r="CO33">
        <v>0</v>
      </c>
      <c r="CP33">
        <v>0</v>
      </c>
    </row>
    <row r="34" spans="1:94" x14ac:dyDescent="0.25">
      <c r="A34" t="s">
        <v>129</v>
      </c>
      <c r="B34" s="1">
        <v>44916</v>
      </c>
      <c r="C34" t="s">
        <v>103</v>
      </c>
      <c r="D34" t="s">
        <v>97</v>
      </c>
      <c r="E34">
        <v>925</v>
      </c>
      <c r="F34">
        <v>1205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6</v>
      </c>
      <c r="O34">
        <v>3</v>
      </c>
      <c r="P34">
        <v>35</v>
      </c>
      <c r="Q34">
        <v>0</v>
      </c>
      <c r="R34">
        <v>13</v>
      </c>
      <c r="S34">
        <v>0</v>
      </c>
      <c r="T34">
        <v>0</v>
      </c>
      <c r="U34">
        <v>0</v>
      </c>
      <c r="V34">
        <v>0</v>
      </c>
      <c r="W34">
        <v>0</v>
      </c>
      <c r="X34">
        <v>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2</v>
      </c>
      <c r="BB34">
        <v>0</v>
      </c>
      <c r="BC34">
        <v>19</v>
      </c>
      <c r="BD34">
        <v>0</v>
      </c>
      <c r="BE34">
        <v>0</v>
      </c>
      <c r="BF34">
        <v>0</v>
      </c>
      <c r="BG34">
        <v>0</v>
      </c>
      <c r="BH34">
        <v>7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3</v>
      </c>
      <c r="BO34">
        <v>7</v>
      </c>
      <c r="BP34">
        <v>6</v>
      </c>
      <c r="BQ34">
        <v>0</v>
      </c>
      <c r="BR34">
        <v>0</v>
      </c>
      <c r="BS34">
        <v>6</v>
      </c>
      <c r="BT34">
        <v>0</v>
      </c>
      <c r="BU34">
        <v>0</v>
      </c>
      <c r="BV34">
        <v>0</v>
      </c>
      <c r="BW34">
        <v>0</v>
      </c>
      <c r="BX34">
        <v>5</v>
      </c>
      <c r="BY34">
        <v>8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1</v>
      </c>
      <c r="CI34">
        <v>0</v>
      </c>
      <c r="CJ34">
        <v>0</v>
      </c>
      <c r="CK34">
        <v>0</v>
      </c>
      <c r="CL34">
        <v>0</v>
      </c>
      <c r="CM34">
        <v>2</v>
      </c>
      <c r="CN34">
        <v>1</v>
      </c>
      <c r="CO34">
        <v>0</v>
      </c>
      <c r="CP34">
        <v>0</v>
      </c>
    </row>
    <row r="35" spans="1:94" s="2" customFormat="1" x14ac:dyDescent="0.25">
      <c r="A35" s="2" t="s">
        <v>130</v>
      </c>
      <c r="B35" s="3">
        <v>44917</v>
      </c>
      <c r="C35" s="2" t="s">
        <v>92</v>
      </c>
      <c r="D35" s="2" t="s">
        <v>93</v>
      </c>
      <c r="E35" s="2">
        <v>775</v>
      </c>
      <c r="F35" s="2">
        <v>3840</v>
      </c>
      <c r="G35" s="2">
        <v>0</v>
      </c>
      <c r="H35" s="2">
        <v>0</v>
      </c>
      <c r="I35" s="2">
        <v>0</v>
      </c>
      <c r="J35" s="2">
        <v>0</v>
      </c>
      <c r="K35">
        <v>0</v>
      </c>
      <c r="L35">
        <v>2</v>
      </c>
      <c r="M35" s="2">
        <v>0</v>
      </c>
      <c r="N35">
        <f>14+20+26+10+40+18+18+25+30+50+16</f>
        <v>267</v>
      </c>
      <c r="O35">
        <v>0</v>
      </c>
      <c r="P35">
        <v>32</v>
      </c>
      <c r="Q35" s="2">
        <v>0</v>
      </c>
      <c r="R35">
        <v>33</v>
      </c>
      <c r="S35">
        <v>3</v>
      </c>
      <c r="T35" s="2">
        <v>0</v>
      </c>
      <c r="U35" s="2">
        <v>0</v>
      </c>
      <c r="V35" s="2">
        <v>0</v>
      </c>
      <c r="W35" s="2">
        <v>0</v>
      </c>
      <c r="X35" s="2">
        <v>4</v>
      </c>
      <c r="Y35" s="2">
        <v>0</v>
      </c>
      <c r="Z35" s="2">
        <v>1</v>
      </c>
      <c r="AA35" s="2">
        <v>3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4</v>
      </c>
      <c r="AH35" s="2">
        <v>0</v>
      </c>
      <c r="AI35" s="2">
        <v>0</v>
      </c>
      <c r="AJ35" s="2">
        <v>0</v>
      </c>
      <c r="AK35" s="2">
        <v>25</v>
      </c>
      <c r="AL35" s="2">
        <v>0</v>
      </c>
      <c r="AM35" s="2">
        <v>0</v>
      </c>
      <c r="AN35" s="2">
        <v>0</v>
      </c>
      <c r="AO35" s="2">
        <v>3</v>
      </c>
      <c r="AP35" s="2">
        <v>0</v>
      </c>
      <c r="AQ35" s="2">
        <v>2</v>
      </c>
      <c r="AR35" s="2">
        <v>1</v>
      </c>
      <c r="AS35" s="2">
        <v>0</v>
      </c>
      <c r="AT35" s="2">
        <v>0</v>
      </c>
      <c r="AU35" s="2">
        <v>0</v>
      </c>
      <c r="AV35" s="2">
        <v>0</v>
      </c>
      <c r="AW35" s="2">
        <v>4</v>
      </c>
      <c r="AX35" s="2">
        <v>5</v>
      </c>
      <c r="AY35" s="2">
        <v>0</v>
      </c>
      <c r="AZ35" s="2">
        <v>2</v>
      </c>
      <c r="BA35" s="2">
        <v>35</v>
      </c>
      <c r="BB35" s="2">
        <v>0</v>
      </c>
      <c r="BC35" s="2">
        <v>95</v>
      </c>
      <c r="BD35" s="2">
        <v>2</v>
      </c>
      <c r="BE35" s="2">
        <v>2</v>
      </c>
      <c r="BF35" s="2">
        <v>0</v>
      </c>
      <c r="BG35" s="2">
        <v>0</v>
      </c>
      <c r="BH35">
        <f>15+9+55+8</f>
        <v>87</v>
      </c>
      <c r="BI35">
        <v>0</v>
      </c>
      <c r="BJ35" s="2">
        <v>0</v>
      </c>
      <c r="BK35" s="2">
        <v>0</v>
      </c>
      <c r="BL35" s="2">
        <v>0</v>
      </c>
      <c r="BM35" s="2">
        <v>0</v>
      </c>
      <c r="BN35" s="2">
        <v>3</v>
      </c>
      <c r="BO35" s="2">
        <v>0</v>
      </c>
      <c r="BP35">
        <v>3</v>
      </c>
      <c r="BQ35">
        <v>0</v>
      </c>
      <c r="BR35" s="2">
        <v>0</v>
      </c>
      <c r="BS35" s="2">
        <v>16</v>
      </c>
      <c r="BT35" s="2">
        <v>0</v>
      </c>
      <c r="BU35" s="2">
        <v>0</v>
      </c>
      <c r="BV35" s="2">
        <v>0</v>
      </c>
      <c r="BW35" s="2">
        <v>0</v>
      </c>
      <c r="BX35" s="2">
        <v>58</v>
      </c>
      <c r="BY35" s="2">
        <v>16</v>
      </c>
      <c r="BZ35" s="2">
        <v>1</v>
      </c>
      <c r="CA35" s="2">
        <v>9</v>
      </c>
      <c r="CB35" s="2">
        <v>0</v>
      </c>
      <c r="CC35">
        <v>2</v>
      </c>
      <c r="CD35">
        <v>0</v>
      </c>
      <c r="CE35" s="2">
        <v>0</v>
      </c>
      <c r="CF35" s="2">
        <v>0</v>
      </c>
      <c r="CG35" s="2">
        <v>0</v>
      </c>
      <c r="CH35">
        <v>1</v>
      </c>
      <c r="CI35">
        <v>1</v>
      </c>
      <c r="CJ35" s="2">
        <v>0</v>
      </c>
      <c r="CK35" s="2">
        <v>0</v>
      </c>
      <c r="CL35" s="2">
        <v>0</v>
      </c>
      <c r="CM35" s="2">
        <v>7</v>
      </c>
      <c r="CN35" s="2">
        <v>0</v>
      </c>
      <c r="CO35" s="2">
        <v>1</v>
      </c>
      <c r="CP35" s="2">
        <v>0</v>
      </c>
    </row>
    <row r="36" spans="1:94" s="2" customFormat="1" x14ac:dyDescent="0.25">
      <c r="A36" s="2" t="s">
        <v>131</v>
      </c>
      <c r="B36" s="3">
        <v>44917</v>
      </c>
      <c r="C36" s="2" t="s">
        <v>92</v>
      </c>
      <c r="D36" s="2" t="s">
        <v>95</v>
      </c>
      <c r="E36" s="2">
        <v>1000</v>
      </c>
      <c r="F36" s="2">
        <v>5555</v>
      </c>
      <c r="G36" s="2">
        <v>0</v>
      </c>
      <c r="H36" s="2">
        <v>0</v>
      </c>
      <c r="I36" s="2">
        <v>0</v>
      </c>
      <c r="J36" s="2">
        <v>0</v>
      </c>
      <c r="K36">
        <v>0</v>
      </c>
      <c r="L36">
        <v>0</v>
      </c>
      <c r="M36" s="2">
        <v>0</v>
      </c>
      <c r="N36">
        <v>332</v>
      </c>
      <c r="O36">
        <v>2</v>
      </c>
      <c r="P36">
        <v>33</v>
      </c>
      <c r="Q36" s="2">
        <v>0</v>
      </c>
      <c r="R36">
        <v>16</v>
      </c>
      <c r="S36">
        <v>0</v>
      </c>
      <c r="T36" s="2">
        <v>0</v>
      </c>
      <c r="U36" s="2">
        <v>0</v>
      </c>
      <c r="V36" s="2">
        <v>0</v>
      </c>
      <c r="W36" s="2">
        <v>0</v>
      </c>
      <c r="X36" s="2">
        <v>5</v>
      </c>
      <c r="Y36" s="2">
        <v>0</v>
      </c>
      <c r="Z36" s="2">
        <v>2</v>
      </c>
      <c r="AA36" s="2">
        <v>7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6</v>
      </c>
      <c r="AH36" s="2">
        <v>0</v>
      </c>
      <c r="AI36" s="2">
        <v>0</v>
      </c>
      <c r="AJ36" s="2">
        <v>0</v>
      </c>
      <c r="AK36" s="2">
        <v>10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5</v>
      </c>
      <c r="AS36" s="2">
        <v>0</v>
      </c>
      <c r="AT36" s="2">
        <v>0</v>
      </c>
      <c r="AU36" s="2">
        <v>0</v>
      </c>
      <c r="AV36" s="2">
        <v>0</v>
      </c>
      <c r="AW36" s="2">
        <v>7</v>
      </c>
      <c r="AX36" s="2">
        <v>6</v>
      </c>
      <c r="AY36" s="2">
        <v>1</v>
      </c>
      <c r="AZ36" s="2">
        <v>3</v>
      </c>
      <c r="BA36" s="2">
        <v>45</v>
      </c>
      <c r="BB36" s="2">
        <v>0</v>
      </c>
      <c r="BC36" s="2">
        <v>107</v>
      </c>
      <c r="BD36" s="2">
        <v>2</v>
      </c>
      <c r="BE36" s="2">
        <v>5</v>
      </c>
      <c r="BF36" s="2">
        <v>0</v>
      </c>
      <c r="BG36" s="2">
        <v>0</v>
      </c>
      <c r="BH36">
        <f>11+4+10+43+13</f>
        <v>81</v>
      </c>
      <c r="BI36">
        <v>1</v>
      </c>
      <c r="BJ36" s="2">
        <v>0</v>
      </c>
      <c r="BK36" s="2">
        <v>0</v>
      </c>
      <c r="BL36" s="2">
        <v>0</v>
      </c>
      <c r="BM36" s="2">
        <v>0</v>
      </c>
      <c r="BN36" s="2">
        <v>1</v>
      </c>
      <c r="BO36" s="2">
        <v>0</v>
      </c>
      <c r="BP36">
        <v>4</v>
      </c>
      <c r="BQ36">
        <v>3</v>
      </c>
      <c r="BR36" s="2">
        <v>0</v>
      </c>
      <c r="BS36" s="2">
        <v>5</v>
      </c>
      <c r="BT36" s="2">
        <v>0</v>
      </c>
      <c r="BU36" s="2">
        <v>0</v>
      </c>
      <c r="BV36" s="2">
        <v>0</v>
      </c>
      <c r="BW36" s="2">
        <v>0</v>
      </c>
      <c r="BX36" s="2">
        <v>24</v>
      </c>
      <c r="BY36" s="2">
        <v>14</v>
      </c>
      <c r="BZ36" s="2">
        <v>2</v>
      </c>
      <c r="CA36" s="2">
        <v>7</v>
      </c>
      <c r="CB36" s="2">
        <v>0</v>
      </c>
      <c r="CC36">
        <v>1</v>
      </c>
      <c r="CD36">
        <v>0</v>
      </c>
      <c r="CE36" s="2">
        <v>0</v>
      </c>
      <c r="CF36" s="2">
        <v>0</v>
      </c>
      <c r="CG36" s="2">
        <v>0</v>
      </c>
      <c r="CH36">
        <v>3</v>
      </c>
      <c r="CI36">
        <v>0</v>
      </c>
      <c r="CJ36" s="2">
        <v>0</v>
      </c>
      <c r="CK36" s="2">
        <v>0</v>
      </c>
      <c r="CL36" s="2">
        <v>0</v>
      </c>
      <c r="CM36" s="2">
        <v>1</v>
      </c>
      <c r="CN36" s="2">
        <v>0</v>
      </c>
      <c r="CO36" s="2">
        <v>0</v>
      </c>
      <c r="CP36" s="2">
        <v>0</v>
      </c>
    </row>
    <row r="37" spans="1:94" s="2" customFormat="1" x14ac:dyDescent="0.25">
      <c r="A37" s="2" t="s">
        <v>132</v>
      </c>
      <c r="B37" s="3">
        <v>44917</v>
      </c>
      <c r="C37" s="2" t="s">
        <v>92</v>
      </c>
      <c r="D37" s="2" t="s">
        <v>97</v>
      </c>
      <c r="E37" s="2">
        <v>950</v>
      </c>
      <c r="F37" s="2">
        <v>3970</v>
      </c>
      <c r="G37" s="2">
        <v>0</v>
      </c>
      <c r="H37" s="2">
        <v>0</v>
      </c>
      <c r="I37" s="2">
        <v>0</v>
      </c>
      <c r="J37" s="2">
        <v>0</v>
      </c>
      <c r="K37">
        <v>1</v>
      </c>
      <c r="L37">
        <v>1</v>
      </c>
      <c r="M37" s="2">
        <v>0</v>
      </c>
      <c r="N37">
        <f>10+5+8+8+8+16</f>
        <v>55</v>
      </c>
      <c r="O37">
        <v>0</v>
      </c>
      <c r="P37">
        <v>10</v>
      </c>
      <c r="Q37" s="2">
        <v>0</v>
      </c>
      <c r="R37">
        <v>0</v>
      </c>
      <c r="S37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1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6</v>
      </c>
      <c r="AL37" s="2">
        <v>0</v>
      </c>
      <c r="AM37" s="2">
        <v>0</v>
      </c>
      <c r="AN37" s="2">
        <v>0</v>
      </c>
      <c r="AO37" s="2">
        <v>1</v>
      </c>
      <c r="AP37" s="2">
        <v>1</v>
      </c>
      <c r="AQ37" s="2">
        <v>0</v>
      </c>
      <c r="AR37" s="2">
        <v>1</v>
      </c>
      <c r="AS37" s="2">
        <v>0</v>
      </c>
      <c r="AT37" s="2">
        <v>0</v>
      </c>
      <c r="AU37" s="2">
        <v>0</v>
      </c>
      <c r="AV37" s="2">
        <v>0</v>
      </c>
      <c r="AW37" s="2">
        <v>5</v>
      </c>
      <c r="AX37" s="2">
        <v>7</v>
      </c>
      <c r="AY37" s="2">
        <v>0</v>
      </c>
      <c r="AZ37" s="2">
        <v>4</v>
      </c>
      <c r="BA37" s="2">
        <v>9</v>
      </c>
      <c r="BB37" s="2">
        <v>0</v>
      </c>
      <c r="BC37" s="2">
        <v>40</v>
      </c>
      <c r="BD37" s="2">
        <v>10</v>
      </c>
      <c r="BE37" s="2">
        <v>2</v>
      </c>
      <c r="BF37" s="2">
        <v>0</v>
      </c>
      <c r="BG37" s="2">
        <v>0</v>
      </c>
      <c r="BH37">
        <v>7</v>
      </c>
      <c r="BI37">
        <v>0</v>
      </c>
      <c r="BJ37" s="2">
        <v>0</v>
      </c>
      <c r="BK37" s="2">
        <v>0</v>
      </c>
      <c r="BL37" s="2">
        <v>0</v>
      </c>
      <c r="BM37" s="2">
        <v>0</v>
      </c>
      <c r="BN37" s="2">
        <v>1</v>
      </c>
      <c r="BO37" s="2">
        <v>0</v>
      </c>
      <c r="BP37">
        <v>3</v>
      </c>
      <c r="BQ37">
        <v>1</v>
      </c>
      <c r="BR37" s="2">
        <v>0</v>
      </c>
      <c r="BS37" s="2">
        <v>5</v>
      </c>
      <c r="BT37" s="2">
        <v>0</v>
      </c>
      <c r="BU37" s="2">
        <v>0</v>
      </c>
      <c r="BV37" s="2">
        <v>0</v>
      </c>
      <c r="BW37" s="2">
        <v>0</v>
      </c>
      <c r="BX37" s="2">
        <v>21</v>
      </c>
      <c r="BY37" s="2">
        <v>30</v>
      </c>
      <c r="BZ37" s="2">
        <v>0</v>
      </c>
      <c r="CA37" s="2">
        <v>1</v>
      </c>
      <c r="CB37" s="2">
        <v>0</v>
      </c>
      <c r="CC37">
        <v>0</v>
      </c>
      <c r="CD37">
        <v>2</v>
      </c>
      <c r="CE37" s="2">
        <v>0</v>
      </c>
      <c r="CF37" s="2">
        <v>0</v>
      </c>
      <c r="CG37" s="2">
        <v>0</v>
      </c>
      <c r="CH37">
        <v>1</v>
      </c>
      <c r="CI37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>
      <selection activeCell="A2" sqref="A2"/>
    </sheetView>
  </sheetViews>
  <sheetFormatPr defaultRowHeight="15" x14ac:dyDescent="0.25"/>
  <cols>
    <col min="2" max="2" width="10.5703125" bestFit="1" customWidth="1"/>
  </cols>
  <sheetData>
    <row r="1" spans="1:19" x14ac:dyDescent="0.25">
      <c r="A1" t="s">
        <v>0</v>
      </c>
      <c r="B1" t="s">
        <v>231</v>
      </c>
      <c r="C1" t="s">
        <v>1</v>
      </c>
      <c r="D1" t="s">
        <v>2</v>
      </c>
      <c r="E1" t="s">
        <v>259</v>
      </c>
      <c r="F1" t="s">
        <v>260</v>
      </c>
      <c r="G1" t="s">
        <v>258</v>
      </c>
      <c r="H1" t="s">
        <v>134</v>
      </c>
      <c r="I1" t="s">
        <v>51</v>
      </c>
      <c r="J1" t="s">
        <v>15</v>
      </c>
      <c r="K1" t="s">
        <v>49</v>
      </c>
      <c r="L1" t="s">
        <v>69</v>
      </c>
      <c r="M1" t="s">
        <v>52</v>
      </c>
      <c r="N1" t="s">
        <v>31</v>
      </c>
      <c r="O1" t="s">
        <v>22</v>
      </c>
      <c r="P1" t="s">
        <v>29</v>
      </c>
      <c r="Q1" t="s">
        <v>34</v>
      </c>
      <c r="R1" t="s">
        <v>47</v>
      </c>
      <c r="S1" t="s">
        <v>16</v>
      </c>
    </row>
    <row r="2" spans="1:19" x14ac:dyDescent="0.25">
      <c r="A2" s="2" t="s">
        <v>252</v>
      </c>
      <c r="B2" s="1">
        <v>44916</v>
      </c>
      <c r="C2" s="2" t="s">
        <v>92</v>
      </c>
      <c r="D2" t="s">
        <v>251</v>
      </c>
      <c r="E2">
        <v>10</v>
      </c>
      <c r="F2">
        <v>0.4</v>
      </c>
      <c r="G2" s="6">
        <v>0.34097222222222223</v>
      </c>
      <c r="H2">
        <v>625</v>
      </c>
      <c r="I2">
        <v>8</v>
      </c>
      <c r="J2">
        <v>1</v>
      </c>
      <c r="K2">
        <v>1</v>
      </c>
      <c r="L2">
        <v>2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</row>
    <row r="3" spans="1:19" x14ac:dyDescent="0.25">
      <c r="A3" s="2" t="s">
        <v>253</v>
      </c>
      <c r="B3" s="1">
        <v>44917</v>
      </c>
      <c r="C3" s="2" t="s">
        <v>92</v>
      </c>
      <c r="D3" t="s">
        <v>93</v>
      </c>
      <c r="E3">
        <v>10</v>
      </c>
      <c r="F3">
        <v>0.3</v>
      </c>
      <c r="G3" s="6">
        <v>0.4152777777777778</v>
      </c>
      <c r="H3">
        <v>3735</v>
      </c>
      <c r="I3">
        <v>31</v>
      </c>
      <c r="J3">
        <v>3</v>
      </c>
      <c r="K3">
        <v>7</v>
      </c>
      <c r="L3">
        <v>2</v>
      </c>
      <c r="M3">
        <v>6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</row>
    <row r="4" spans="1:19" x14ac:dyDescent="0.25">
      <c r="A4" s="2" t="s">
        <v>254</v>
      </c>
      <c r="B4" s="1">
        <v>44917</v>
      </c>
      <c r="C4" s="2" t="s">
        <v>92</v>
      </c>
      <c r="D4" t="s">
        <v>95</v>
      </c>
      <c r="E4">
        <v>10</v>
      </c>
      <c r="F4">
        <v>0.3</v>
      </c>
      <c r="G4" s="6">
        <v>0.4152777777777778</v>
      </c>
      <c r="H4">
        <v>1090</v>
      </c>
      <c r="I4">
        <v>8</v>
      </c>
      <c r="J4">
        <v>5</v>
      </c>
      <c r="K4">
        <v>2</v>
      </c>
      <c r="L4">
        <v>3</v>
      </c>
      <c r="M4">
        <v>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 s="2" t="s">
        <v>255</v>
      </c>
      <c r="B5" s="1">
        <v>44917</v>
      </c>
      <c r="C5" s="2" t="s">
        <v>92</v>
      </c>
      <c r="D5" t="s">
        <v>97</v>
      </c>
      <c r="E5">
        <v>10</v>
      </c>
      <c r="F5">
        <v>0.3</v>
      </c>
      <c r="G5" s="6">
        <v>0.4152777777777778</v>
      </c>
      <c r="H5">
        <v>1750</v>
      </c>
      <c r="I5">
        <v>11</v>
      </c>
      <c r="J5">
        <v>2</v>
      </c>
      <c r="K5">
        <v>1</v>
      </c>
      <c r="L5">
        <v>3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</row>
    <row r="7" spans="1:19" ht="46.9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7"/>
  <sheetViews>
    <sheetView workbookViewId="0">
      <selection activeCell="E16" sqref="E16"/>
    </sheetView>
  </sheetViews>
  <sheetFormatPr defaultRowHeight="15" x14ac:dyDescent="0.25"/>
  <cols>
    <col min="2" max="3" width="8.85546875" style="4"/>
    <col min="4" max="4" width="15" style="4" bestFit="1" customWidth="1"/>
    <col min="5" max="5" width="24.5703125" style="4" bestFit="1" customWidth="1"/>
    <col min="6" max="6" width="17.85546875" style="4" bestFit="1" customWidth="1"/>
    <col min="7" max="7" width="24" style="4" bestFit="1" customWidth="1"/>
    <col min="8" max="8" width="11.42578125" style="4" bestFit="1" customWidth="1"/>
    <col min="9" max="12" width="8.85546875" style="4"/>
    <col min="13" max="13" width="10.7109375" style="8" bestFit="1" customWidth="1"/>
  </cols>
  <sheetData>
    <row r="1" spans="1:14" x14ac:dyDescent="0.25">
      <c r="A1" t="s">
        <v>0</v>
      </c>
      <c r="B1" s="4" t="s">
        <v>232</v>
      </c>
      <c r="C1" s="4" t="s">
        <v>250</v>
      </c>
      <c r="D1" s="4" t="s">
        <v>233</v>
      </c>
      <c r="E1" s="4" t="s">
        <v>261</v>
      </c>
      <c r="F1" s="4" t="s">
        <v>272</v>
      </c>
      <c r="G1" s="4" t="s">
        <v>266</v>
      </c>
      <c r="H1" s="4" t="s">
        <v>262</v>
      </c>
      <c r="I1" s="4" t="s">
        <v>331</v>
      </c>
      <c r="J1" s="4" t="s">
        <v>263</v>
      </c>
      <c r="K1" s="4" t="s">
        <v>264</v>
      </c>
      <c r="L1" s="4" t="s">
        <v>265</v>
      </c>
      <c r="M1" s="7" t="s">
        <v>298</v>
      </c>
      <c r="N1" s="4" t="s">
        <v>301</v>
      </c>
    </row>
    <row r="2" spans="1:14" x14ac:dyDescent="0.25">
      <c r="A2" s="2" t="s">
        <v>252</v>
      </c>
      <c r="B2" s="4">
        <v>1</v>
      </c>
      <c r="C2" s="4" t="s">
        <v>251</v>
      </c>
      <c r="D2" s="4" t="s">
        <v>267</v>
      </c>
      <c r="E2" s="4" t="s">
        <v>273</v>
      </c>
      <c r="F2" s="4" t="s">
        <v>292</v>
      </c>
      <c r="G2" s="4" t="s">
        <v>293</v>
      </c>
      <c r="H2" s="4" t="s">
        <v>333</v>
      </c>
      <c r="I2" s="4" t="s">
        <v>330</v>
      </c>
      <c r="J2" s="4">
        <v>18</v>
      </c>
      <c r="K2" s="4">
        <v>6</v>
      </c>
      <c r="L2" s="4">
        <v>0.01</v>
      </c>
      <c r="M2" s="7">
        <v>0</v>
      </c>
    </row>
    <row r="3" spans="1:14" x14ac:dyDescent="0.25">
      <c r="A3" s="2" t="s">
        <v>252</v>
      </c>
      <c r="B3" s="4">
        <v>2</v>
      </c>
      <c r="C3" s="4" t="s">
        <v>251</v>
      </c>
      <c r="D3" s="4" t="s">
        <v>267</v>
      </c>
      <c r="E3" s="4" t="s">
        <v>273</v>
      </c>
      <c r="F3" s="4" t="s">
        <v>295</v>
      </c>
      <c r="G3" s="4" t="s">
        <v>294</v>
      </c>
      <c r="H3" s="4" t="s">
        <v>338</v>
      </c>
      <c r="I3" s="4" t="s">
        <v>332</v>
      </c>
      <c r="J3" s="4">
        <v>15</v>
      </c>
      <c r="K3" s="4">
        <v>4</v>
      </c>
      <c r="L3" s="4">
        <v>5</v>
      </c>
      <c r="M3" s="7">
        <v>0</v>
      </c>
    </row>
    <row r="4" spans="1:14" x14ac:dyDescent="0.25">
      <c r="A4" s="2" t="s">
        <v>252</v>
      </c>
      <c r="B4" s="4">
        <v>3</v>
      </c>
      <c r="C4" s="4" t="s">
        <v>251</v>
      </c>
      <c r="D4" s="4" t="s">
        <v>267</v>
      </c>
      <c r="E4" s="4" t="s">
        <v>273</v>
      </c>
      <c r="F4" s="4" t="s">
        <v>288</v>
      </c>
      <c r="G4" s="4" t="s">
        <v>296</v>
      </c>
      <c r="H4" s="4" t="s">
        <v>337</v>
      </c>
      <c r="I4" s="4" t="s">
        <v>330</v>
      </c>
      <c r="J4" s="4">
        <v>23.5</v>
      </c>
      <c r="K4" s="4">
        <v>13</v>
      </c>
      <c r="L4" s="4">
        <v>0.1</v>
      </c>
      <c r="M4" s="8">
        <v>0</v>
      </c>
    </row>
    <row r="5" spans="1:14" x14ac:dyDescent="0.25">
      <c r="A5" s="2" t="s">
        <v>252</v>
      </c>
      <c r="B5" s="4">
        <v>4</v>
      </c>
      <c r="C5" s="4" t="s">
        <v>251</v>
      </c>
      <c r="D5" s="4" t="s">
        <v>268</v>
      </c>
      <c r="E5" s="4" t="s">
        <v>274</v>
      </c>
      <c r="F5" s="4" t="s">
        <v>289</v>
      </c>
      <c r="G5" s="4" t="s">
        <v>297</v>
      </c>
      <c r="H5" s="4" t="s">
        <v>333</v>
      </c>
      <c r="I5" s="4" t="s">
        <v>332</v>
      </c>
      <c r="J5" s="4">
        <v>14</v>
      </c>
      <c r="K5" s="4">
        <v>10</v>
      </c>
      <c r="L5" s="4">
        <v>1.5</v>
      </c>
      <c r="M5" s="7">
        <v>1</v>
      </c>
    </row>
    <row r="6" spans="1:14" x14ac:dyDescent="0.25">
      <c r="A6" s="2" t="s">
        <v>252</v>
      </c>
      <c r="B6" s="4">
        <v>5</v>
      </c>
      <c r="C6" s="4" t="s">
        <v>251</v>
      </c>
      <c r="D6" s="4" t="s">
        <v>267</v>
      </c>
      <c r="E6" s="4" t="s">
        <v>273</v>
      </c>
      <c r="F6" s="4" t="s">
        <v>290</v>
      </c>
      <c r="G6" s="4" t="s">
        <v>299</v>
      </c>
      <c r="H6" s="4" t="s">
        <v>335</v>
      </c>
      <c r="I6" s="4" t="s">
        <v>330</v>
      </c>
      <c r="J6" s="4">
        <v>23.5</v>
      </c>
      <c r="K6" s="4">
        <v>14</v>
      </c>
      <c r="L6" s="4">
        <v>0.01</v>
      </c>
      <c r="M6" s="8">
        <v>1</v>
      </c>
    </row>
    <row r="7" spans="1:14" x14ac:dyDescent="0.25">
      <c r="A7" s="2" t="s">
        <v>252</v>
      </c>
      <c r="B7" s="4">
        <v>6</v>
      </c>
      <c r="C7" s="4" t="s">
        <v>251</v>
      </c>
      <c r="D7" s="4" t="s">
        <v>267</v>
      </c>
      <c r="E7" s="4" t="s">
        <v>275</v>
      </c>
      <c r="H7" s="4" t="s">
        <v>336</v>
      </c>
      <c r="I7" s="4" t="s">
        <v>330</v>
      </c>
      <c r="J7" s="4">
        <v>22</v>
      </c>
      <c r="K7" s="4">
        <v>0.8</v>
      </c>
      <c r="L7" s="4">
        <v>0.5</v>
      </c>
      <c r="M7" s="7">
        <v>0</v>
      </c>
    </row>
    <row r="8" spans="1:14" x14ac:dyDescent="0.25">
      <c r="A8" s="2" t="s">
        <v>252</v>
      </c>
      <c r="B8" s="4">
        <v>7</v>
      </c>
      <c r="C8" s="4" t="s">
        <v>251</v>
      </c>
      <c r="D8" s="4" t="s">
        <v>267</v>
      </c>
      <c r="E8" s="4" t="s">
        <v>273</v>
      </c>
      <c r="F8" t="s">
        <v>291</v>
      </c>
      <c r="G8" s="4" t="s">
        <v>235</v>
      </c>
      <c r="H8" s="4" t="s">
        <v>334</v>
      </c>
      <c r="I8" s="4" t="s">
        <v>330</v>
      </c>
      <c r="J8" s="4">
        <v>25</v>
      </c>
      <c r="K8" s="4">
        <v>17</v>
      </c>
      <c r="L8" s="4">
        <v>0.01</v>
      </c>
      <c r="M8" s="7">
        <v>0</v>
      </c>
    </row>
    <row r="9" spans="1:14" x14ac:dyDescent="0.25">
      <c r="A9" s="2" t="s">
        <v>252</v>
      </c>
      <c r="B9" s="4">
        <v>8</v>
      </c>
      <c r="C9" s="4" t="s">
        <v>251</v>
      </c>
      <c r="D9" s="4" t="s">
        <v>267</v>
      </c>
      <c r="E9" s="4" t="s">
        <v>276</v>
      </c>
      <c r="F9" s="4" t="s">
        <v>300</v>
      </c>
      <c r="H9" s="4" t="s">
        <v>335</v>
      </c>
      <c r="I9" s="4" t="s">
        <v>332</v>
      </c>
      <c r="J9" s="4">
        <v>12</v>
      </c>
      <c r="K9" s="4">
        <v>3</v>
      </c>
      <c r="L9" s="4">
        <v>1.5</v>
      </c>
      <c r="M9" s="7">
        <v>0</v>
      </c>
    </row>
    <row r="10" spans="1:14" x14ac:dyDescent="0.25">
      <c r="A10" s="2" t="s">
        <v>252</v>
      </c>
      <c r="B10" s="4">
        <v>9</v>
      </c>
      <c r="C10" s="4" t="s">
        <v>251</v>
      </c>
      <c r="D10" s="4" t="s">
        <v>267</v>
      </c>
      <c r="E10" s="4" t="s">
        <v>273</v>
      </c>
      <c r="H10" s="4" t="s">
        <v>337</v>
      </c>
      <c r="I10" s="4" t="s">
        <v>330</v>
      </c>
      <c r="J10" s="4">
        <v>39</v>
      </c>
      <c r="K10" s="4">
        <v>29</v>
      </c>
      <c r="L10" s="4">
        <v>0.1</v>
      </c>
      <c r="M10" s="7">
        <v>0</v>
      </c>
    </row>
    <row r="11" spans="1:14" x14ac:dyDescent="0.25">
      <c r="A11" s="2" t="s">
        <v>252</v>
      </c>
      <c r="B11" s="4">
        <v>10</v>
      </c>
      <c r="C11" s="4" t="s">
        <v>251</v>
      </c>
      <c r="D11" s="4" t="s">
        <v>267</v>
      </c>
      <c r="E11" s="4" t="s">
        <v>273</v>
      </c>
      <c r="F11" t="s">
        <v>304</v>
      </c>
      <c r="G11" s="4" t="s">
        <v>303</v>
      </c>
      <c r="H11" s="4" t="s">
        <v>338</v>
      </c>
      <c r="I11" s="4" t="s">
        <v>330</v>
      </c>
      <c r="J11" s="4">
        <v>36.5</v>
      </c>
      <c r="K11" s="4">
        <v>27.5</v>
      </c>
      <c r="L11" s="4">
        <v>0.1</v>
      </c>
      <c r="M11" s="7">
        <v>1</v>
      </c>
      <c r="N11" s="4" t="s">
        <v>302</v>
      </c>
    </row>
    <row r="12" spans="1:14" x14ac:dyDescent="0.25">
      <c r="A12" s="2" t="s">
        <v>252</v>
      </c>
      <c r="B12" s="4">
        <v>11</v>
      </c>
      <c r="C12" s="4" t="s">
        <v>251</v>
      </c>
      <c r="D12" s="4" t="s">
        <v>267</v>
      </c>
      <c r="E12" s="4" t="s">
        <v>236</v>
      </c>
      <c r="H12" s="4" t="s">
        <v>339</v>
      </c>
      <c r="I12" s="4" t="s">
        <v>330</v>
      </c>
      <c r="J12" s="4">
        <v>12</v>
      </c>
      <c r="K12" s="4">
        <v>9.5</v>
      </c>
      <c r="L12" s="4">
        <v>0.1</v>
      </c>
      <c r="M12" s="7">
        <v>1</v>
      </c>
    </row>
    <row r="13" spans="1:14" x14ac:dyDescent="0.25">
      <c r="A13" s="2" t="s">
        <v>252</v>
      </c>
      <c r="B13" s="4">
        <v>12</v>
      </c>
      <c r="C13" s="4" t="s">
        <v>251</v>
      </c>
      <c r="D13" s="4" t="s">
        <v>269</v>
      </c>
      <c r="E13" s="4" t="s">
        <v>277</v>
      </c>
      <c r="H13" s="4" t="s">
        <v>338</v>
      </c>
      <c r="I13" s="4" t="s">
        <v>332</v>
      </c>
      <c r="J13" s="4">
        <v>12</v>
      </c>
      <c r="K13" s="4">
        <v>6</v>
      </c>
      <c r="L13" s="4">
        <v>0.3</v>
      </c>
      <c r="M13" s="7">
        <v>0</v>
      </c>
    </row>
    <row r="14" spans="1:14" x14ac:dyDescent="0.25">
      <c r="A14" s="2" t="s">
        <v>252</v>
      </c>
      <c r="B14" s="4">
        <v>13</v>
      </c>
      <c r="C14" s="4" t="s">
        <v>251</v>
      </c>
      <c r="D14" s="4" t="s">
        <v>267</v>
      </c>
      <c r="E14" s="4" t="s">
        <v>278</v>
      </c>
      <c r="F14" s="4" t="s">
        <v>282</v>
      </c>
      <c r="H14" s="4" t="s">
        <v>335</v>
      </c>
      <c r="I14" s="4" t="s">
        <v>330</v>
      </c>
      <c r="J14" s="4">
        <v>6</v>
      </c>
      <c r="K14" s="4">
        <v>3.5</v>
      </c>
      <c r="L14" s="4">
        <v>0.1</v>
      </c>
      <c r="M14" s="7">
        <v>0</v>
      </c>
    </row>
    <row r="15" spans="1:14" x14ac:dyDescent="0.25">
      <c r="A15" s="2" t="s">
        <v>252</v>
      </c>
      <c r="B15" s="4">
        <v>14</v>
      </c>
      <c r="C15" s="4" t="s">
        <v>251</v>
      </c>
      <c r="D15" s="4" t="s">
        <v>267</v>
      </c>
      <c r="E15" s="4" t="s">
        <v>278</v>
      </c>
      <c r="F15" s="4" t="s">
        <v>282</v>
      </c>
      <c r="H15" s="4" t="s">
        <v>334</v>
      </c>
      <c r="I15" s="4" t="s">
        <v>330</v>
      </c>
      <c r="J15" s="4">
        <v>4</v>
      </c>
      <c r="K15" s="4">
        <v>2</v>
      </c>
      <c r="L15" s="4">
        <v>0.1</v>
      </c>
      <c r="M15" s="7">
        <v>0</v>
      </c>
    </row>
    <row r="16" spans="1:14" x14ac:dyDescent="0.25">
      <c r="A16" s="2" t="s">
        <v>252</v>
      </c>
      <c r="B16" s="4">
        <v>15</v>
      </c>
      <c r="C16" s="4" t="s">
        <v>251</v>
      </c>
      <c r="D16" s="4" t="s">
        <v>267</v>
      </c>
      <c r="E16" s="4" t="s">
        <v>273</v>
      </c>
      <c r="F16" s="4" t="s">
        <v>286</v>
      </c>
      <c r="H16" s="4" t="s">
        <v>335</v>
      </c>
      <c r="I16" s="4" t="s">
        <v>330</v>
      </c>
      <c r="J16" s="4">
        <v>17</v>
      </c>
      <c r="K16" s="4">
        <v>3</v>
      </c>
      <c r="L16" s="4">
        <v>0.1</v>
      </c>
      <c r="M16" s="7">
        <v>0</v>
      </c>
    </row>
    <row r="17" spans="1:13" x14ac:dyDescent="0.25">
      <c r="A17" s="2" t="s">
        <v>252</v>
      </c>
      <c r="B17" s="4">
        <v>16</v>
      </c>
      <c r="C17" s="4" t="s">
        <v>251</v>
      </c>
      <c r="D17" s="4" t="s">
        <v>267</v>
      </c>
      <c r="E17" s="4" t="s">
        <v>278</v>
      </c>
      <c r="F17" s="4" t="s">
        <v>282</v>
      </c>
      <c r="H17" s="4" t="s">
        <v>335</v>
      </c>
      <c r="I17" s="4" t="s">
        <v>330</v>
      </c>
      <c r="J17" s="4">
        <v>4</v>
      </c>
      <c r="K17" s="4">
        <v>2.5</v>
      </c>
      <c r="L17" s="4">
        <v>0.1</v>
      </c>
      <c r="M17" s="8">
        <v>1</v>
      </c>
    </row>
    <row r="18" spans="1:13" x14ac:dyDescent="0.25">
      <c r="A18" s="2" t="s">
        <v>252</v>
      </c>
      <c r="B18" s="4">
        <v>17</v>
      </c>
      <c r="C18" s="4" t="s">
        <v>251</v>
      </c>
      <c r="D18" s="4" t="s">
        <v>267</v>
      </c>
      <c r="E18" s="4" t="s">
        <v>273</v>
      </c>
      <c r="F18" s="4" t="s">
        <v>286</v>
      </c>
      <c r="H18" s="4" t="s">
        <v>335</v>
      </c>
      <c r="I18" s="4" t="s">
        <v>330</v>
      </c>
      <c r="J18" s="4">
        <v>22.5</v>
      </c>
      <c r="K18" s="4">
        <v>15</v>
      </c>
      <c r="L18" s="4">
        <v>0.1</v>
      </c>
      <c r="M18" s="7">
        <v>0</v>
      </c>
    </row>
    <row r="19" spans="1:13" x14ac:dyDescent="0.25">
      <c r="A19" s="2" t="s">
        <v>252</v>
      </c>
      <c r="B19" s="4">
        <v>18</v>
      </c>
      <c r="C19" s="4" t="s">
        <v>251</v>
      </c>
      <c r="D19" s="4" t="s">
        <v>270</v>
      </c>
      <c r="E19" s="4" t="s">
        <v>280</v>
      </c>
      <c r="H19" s="4" t="s">
        <v>333</v>
      </c>
      <c r="I19" s="4" t="s">
        <v>332</v>
      </c>
      <c r="J19" s="4">
        <v>6</v>
      </c>
      <c r="K19" s="4">
        <v>3</v>
      </c>
      <c r="L19" s="4">
        <v>1.5</v>
      </c>
      <c r="M19" s="7">
        <v>0</v>
      </c>
    </row>
    <row r="20" spans="1:13" x14ac:dyDescent="0.25">
      <c r="A20" s="2" t="s">
        <v>253</v>
      </c>
      <c r="B20" s="4">
        <v>19</v>
      </c>
      <c r="C20" s="4" t="s">
        <v>93</v>
      </c>
      <c r="D20" s="4" t="s">
        <v>267</v>
      </c>
      <c r="E20" s="4" t="s">
        <v>275</v>
      </c>
      <c r="H20" s="4" t="s">
        <v>335</v>
      </c>
      <c r="I20" s="4" t="s">
        <v>330</v>
      </c>
      <c r="J20" s="4">
        <v>21</v>
      </c>
      <c r="K20" s="4">
        <v>0.7</v>
      </c>
      <c r="L20" s="4">
        <v>0.7</v>
      </c>
      <c r="M20" s="7">
        <v>0</v>
      </c>
    </row>
    <row r="21" spans="1:13" x14ac:dyDescent="0.25">
      <c r="A21" s="2" t="s">
        <v>253</v>
      </c>
      <c r="B21" s="4">
        <v>20</v>
      </c>
      <c r="C21" s="4" t="s">
        <v>93</v>
      </c>
      <c r="D21" s="4" t="s">
        <v>267</v>
      </c>
      <c r="E21" s="4" t="s">
        <v>275</v>
      </c>
      <c r="H21" s="4" t="s">
        <v>336</v>
      </c>
      <c r="I21" s="4" t="s">
        <v>330</v>
      </c>
      <c r="J21" s="4">
        <v>20</v>
      </c>
      <c r="K21" s="4">
        <v>1</v>
      </c>
      <c r="L21" s="4">
        <v>1</v>
      </c>
      <c r="M21" s="7">
        <v>0</v>
      </c>
    </row>
    <row r="22" spans="1:13" x14ac:dyDescent="0.25">
      <c r="A22" s="2" t="s">
        <v>253</v>
      </c>
      <c r="B22" s="4">
        <v>21</v>
      </c>
      <c r="C22" s="4" t="s">
        <v>93</v>
      </c>
      <c r="D22" s="4" t="s">
        <v>267</v>
      </c>
      <c r="E22" s="4" t="s">
        <v>273</v>
      </c>
      <c r="F22" s="4" t="s">
        <v>305</v>
      </c>
      <c r="G22" s="4" t="s">
        <v>239</v>
      </c>
      <c r="H22" s="4" t="s">
        <v>335</v>
      </c>
      <c r="I22" s="4" t="s">
        <v>330</v>
      </c>
      <c r="J22" s="4">
        <v>16.5</v>
      </c>
      <c r="K22" s="4">
        <v>4.5</v>
      </c>
      <c r="L22" s="4">
        <v>4.5</v>
      </c>
      <c r="M22" s="7">
        <v>0</v>
      </c>
    </row>
    <row r="23" spans="1:13" x14ac:dyDescent="0.25">
      <c r="A23" s="2" t="s">
        <v>253</v>
      </c>
      <c r="B23" s="4">
        <v>22</v>
      </c>
      <c r="C23" s="4" t="s">
        <v>93</v>
      </c>
      <c r="D23" s="4" t="s">
        <v>267</v>
      </c>
      <c r="E23" s="4" t="s">
        <v>273</v>
      </c>
      <c r="F23" t="s">
        <v>291</v>
      </c>
      <c r="G23" s="4" t="s">
        <v>240</v>
      </c>
      <c r="H23" s="4" t="s">
        <v>336</v>
      </c>
      <c r="I23" s="4" t="s">
        <v>330</v>
      </c>
      <c r="J23" s="4">
        <v>23.5</v>
      </c>
      <c r="K23" s="4">
        <v>16</v>
      </c>
      <c r="L23" s="4">
        <v>1</v>
      </c>
      <c r="M23" s="7">
        <v>1</v>
      </c>
    </row>
    <row r="24" spans="1:13" x14ac:dyDescent="0.25">
      <c r="A24" s="2" t="s">
        <v>253</v>
      </c>
      <c r="B24" s="4">
        <v>23</v>
      </c>
      <c r="C24" s="4" t="s">
        <v>93</v>
      </c>
      <c r="D24" s="4" t="s">
        <v>267</v>
      </c>
      <c r="E24" s="4" t="s">
        <v>275</v>
      </c>
      <c r="H24" s="4" t="s">
        <v>335</v>
      </c>
      <c r="I24" s="4" t="s">
        <v>330</v>
      </c>
      <c r="J24" s="4">
        <v>22</v>
      </c>
      <c r="K24" s="4">
        <v>0.5</v>
      </c>
      <c r="L24" s="4">
        <v>0.5</v>
      </c>
      <c r="M24" s="7">
        <v>0</v>
      </c>
    </row>
    <row r="25" spans="1:13" x14ac:dyDescent="0.25">
      <c r="A25" s="2" t="s">
        <v>253</v>
      </c>
      <c r="B25" s="4">
        <v>24</v>
      </c>
      <c r="C25" s="4" t="s">
        <v>93</v>
      </c>
      <c r="D25" s="4" t="s">
        <v>271</v>
      </c>
      <c r="E25" s="4" t="s">
        <v>284</v>
      </c>
      <c r="F25" s="4" t="s">
        <v>285</v>
      </c>
      <c r="H25" s="4" t="s">
        <v>333</v>
      </c>
      <c r="I25" s="4" t="s">
        <v>332</v>
      </c>
      <c r="J25" s="4">
        <v>5.5</v>
      </c>
      <c r="K25" s="4">
        <v>2.5</v>
      </c>
      <c r="L25" s="4">
        <v>2.5</v>
      </c>
      <c r="M25" s="7">
        <v>0</v>
      </c>
    </row>
    <row r="26" spans="1:13" x14ac:dyDescent="0.25">
      <c r="A26" s="2" t="s">
        <v>253</v>
      </c>
      <c r="B26" s="4">
        <v>25</v>
      </c>
      <c r="C26" s="4" t="s">
        <v>93</v>
      </c>
      <c r="D26" s="4" t="s">
        <v>267</v>
      </c>
      <c r="E26" s="4" t="s">
        <v>273</v>
      </c>
      <c r="H26" s="4" t="s">
        <v>335</v>
      </c>
      <c r="I26" s="4" t="s">
        <v>330</v>
      </c>
      <c r="J26" s="4">
        <v>30</v>
      </c>
      <c r="K26" s="4">
        <v>21.5</v>
      </c>
      <c r="L26" s="4">
        <v>0.1</v>
      </c>
      <c r="M26" s="7">
        <v>1</v>
      </c>
    </row>
    <row r="27" spans="1:13" x14ac:dyDescent="0.25">
      <c r="A27" s="2" t="s">
        <v>253</v>
      </c>
      <c r="B27" s="4">
        <v>26</v>
      </c>
      <c r="C27" s="4" t="s">
        <v>93</v>
      </c>
      <c r="D27" s="4" t="s">
        <v>267</v>
      </c>
      <c r="E27" s="4" t="s">
        <v>278</v>
      </c>
      <c r="H27" s="4" t="s">
        <v>337</v>
      </c>
      <c r="I27" s="4" t="s">
        <v>330</v>
      </c>
      <c r="J27" s="4">
        <v>14</v>
      </c>
      <c r="K27" s="4">
        <v>7.5</v>
      </c>
      <c r="L27" s="4">
        <v>0.01</v>
      </c>
      <c r="M27" s="7">
        <v>0</v>
      </c>
    </row>
    <row r="28" spans="1:13" x14ac:dyDescent="0.25">
      <c r="A28" s="2" t="s">
        <v>253</v>
      </c>
      <c r="B28" s="4">
        <v>27</v>
      </c>
      <c r="C28" s="4" t="s">
        <v>93</v>
      </c>
      <c r="D28" s="4" t="s">
        <v>267</v>
      </c>
      <c r="E28" s="4" t="s">
        <v>273</v>
      </c>
      <c r="H28" s="4" t="s">
        <v>335</v>
      </c>
      <c r="I28" s="4" t="s">
        <v>330</v>
      </c>
      <c r="J28" s="4">
        <v>24</v>
      </c>
      <c r="K28" s="4">
        <v>13.5</v>
      </c>
      <c r="L28" s="4">
        <v>0.1</v>
      </c>
      <c r="M28" s="7">
        <v>1</v>
      </c>
    </row>
    <row r="29" spans="1:13" x14ac:dyDescent="0.25">
      <c r="A29" s="2" t="s">
        <v>253</v>
      </c>
      <c r="B29" s="4">
        <v>28</v>
      </c>
      <c r="C29" s="4" t="s">
        <v>93</v>
      </c>
      <c r="D29" s="4" t="s">
        <v>267</v>
      </c>
      <c r="E29" s="4" t="s">
        <v>275</v>
      </c>
      <c r="H29" s="4" t="s">
        <v>335</v>
      </c>
      <c r="I29" s="4" t="s">
        <v>330</v>
      </c>
      <c r="J29" s="4">
        <v>24.5</v>
      </c>
      <c r="K29" s="4">
        <v>0.5</v>
      </c>
      <c r="L29" s="4">
        <v>0.5</v>
      </c>
      <c r="M29" s="7">
        <v>1</v>
      </c>
    </row>
    <row r="30" spans="1:13" x14ac:dyDescent="0.25">
      <c r="A30" s="2" t="s">
        <v>253</v>
      </c>
      <c r="B30" s="4">
        <v>29</v>
      </c>
      <c r="C30" s="4" t="s">
        <v>93</v>
      </c>
      <c r="D30" s="4" t="s">
        <v>267</v>
      </c>
      <c r="E30" s="4" t="s">
        <v>273</v>
      </c>
      <c r="F30" s="4" t="s">
        <v>238</v>
      </c>
      <c r="G30" s="4" t="s">
        <v>239</v>
      </c>
      <c r="H30" s="4" t="s">
        <v>340</v>
      </c>
      <c r="I30" s="4" t="s">
        <v>330</v>
      </c>
      <c r="J30" s="4">
        <v>16</v>
      </c>
      <c r="K30" s="4">
        <v>4</v>
      </c>
      <c r="L30" s="4">
        <v>4</v>
      </c>
      <c r="M30" s="7">
        <v>0</v>
      </c>
    </row>
    <row r="31" spans="1:13" x14ac:dyDescent="0.25">
      <c r="A31" s="2" t="s">
        <v>253</v>
      </c>
      <c r="B31" s="4">
        <v>30</v>
      </c>
      <c r="C31" s="4" t="s">
        <v>93</v>
      </c>
      <c r="D31" s="4" t="s">
        <v>267</v>
      </c>
      <c r="E31" s="4" t="s">
        <v>273</v>
      </c>
      <c r="F31" s="4" t="s">
        <v>241</v>
      </c>
      <c r="G31" s="4" t="s">
        <v>306</v>
      </c>
      <c r="H31" s="4" t="s">
        <v>334</v>
      </c>
      <c r="I31" s="4" t="s">
        <v>330</v>
      </c>
      <c r="J31" s="4">
        <v>30</v>
      </c>
      <c r="K31" s="4">
        <v>9</v>
      </c>
      <c r="L31" s="4">
        <v>0.1</v>
      </c>
      <c r="M31" s="7">
        <v>1</v>
      </c>
    </row>
    <row r="32" spans="1:13" x14ac:dyDescent="0.25">
      <c r="A32" s="2" t="s">
        <v>253</v>
      </c>
      <c r="B32" s="4">
        <v>31</v>
      </c>
      <c r="C32" s="4" t="s">
        <v>93</v>
      </c>
      <c r="D32" s="4" t="s">
        <v>267</v>
      </c>
      <c r="E32" s="4" t="s">
        <v>273</v>
      </c>
      <c r="F32" s="4" t="s">
        <v>234</v>
      </c>
      <c r="G32" s="4" t="s">
        <v>307</v>
      </c>
      <c r="H32" s="4" t="s">
        <v>338</v>
      </c>
      <c r="I32" s="4" t="s">
        <v>330</v>
      </c>
      <c r="J32" s="4">
        <v>24</v>
      </c>
      <c r="K32" s="4">
        <v>17</v>
      </c>
      <c r="L32" s="4">
        <v>0.1</v>
      </c>
      <c r="M32" s="7">
        <v>1</v>
      </c>
    </row>
    <row r="33" spans="1:13" x14ac:dyDescent="0.25">
      <c r="A33" s="2" t="s">
        <v>253</v>
      </c>
      <c r="B33" s="4">
        <v>32</v>
      </c>
      <c r="C33" s="4" t="s">
        <v>93</v>
      </c>
      <c r="D33" s="4" t="s">
        <v>267</v>
      </c>
      <c r="E33" s="4" t="s">
        <v>279</v>
      </c>
      <c r="H33" s="4" t="s">
        <v>334</v>
      </c>
      <c r="I33" s="4" t="s">
        <v>330</v>
      </c>
      <c r="J33" s="4">
        <v>36.5</v>
      </c>
      <c r="K33" s="4">
        <v>6.5</v>
      </c>
      <c r="L33" s="4">
        <v>0.1</v>
      </c>
      <c r="M33" s="7">
        <v>1</v>
      </c>
    </row>
    <row r="34" spans="1:13" x14ac:dyDescent="0.25">
      <c r="A34" s="2" t="s">
        <v>253</v>
      </c>
      <c r="B34" s="4">
        <v>33</v>
      </c>
      <c r="C34" s="4" t="s">
        <v>93</v>
      </c>
      <c r="D34" s="4" t="s">
        <v>267</v>
      </c>
      <c r="E34" s="4" t="s">
        <v>273</v>
      </c>
      <c r="F34" s="4" t="s">
        <v>308</v>
      </c>
      <c r="H34" s="4" t="s">
        <v>341</v>
      </c>
      <c r="I34" s="4" t="s">
        <v>332</v>
      </c>
      <c r="J34" s="4">
        <v>6</v>
      </c>
      <c r="K34" s="4">
        <v>1.3</v>
      </c>
      <c r="L34" s="4">
        <v>3.5</v>
      </c>
      <c r="M34" s="7">
        <v>1</v>
      </c>
    </row>
    <row r="35" spans="1:13" x14ac:dyDescent="0.25">
      <c r="A35" s="2" t="s">
        <v>253</v>
      </c>
      <c r="B35" s="4">
        <v>34</v>
      </c>
      <c r="C35" s="4" t="s">
        <v>93</v>
      </c>
      <c r="D35" s="4" t="s">
        <v>267</v>
      </c>
      <c r="E35" s="4" t="s">
        <v>275</v>
      </c>
      <c r="H35" s="4" t="s">
        <v>335</v>
      </c>
      <c r="I35" s="4" t="s">
        <v>330</v>
      </c>
      <c r="J35" s="4">
        <v>24.5</v>
      </c>
      <c r="K35" s="4">
        <v>0.5</v>
      </c>
      <c r="L35" s="4">
        <v>0.5</v>
      </c>
      <c r="M35" s="7">
        <v>0</v>
      </c>
    </row>
    <row r="36" spans="1:13" x14ac:dyDescent="0.25">
      <c r="A36" s="2" t="s">
        <v>253</v>
      </c>
      <c r="B36" s="4">
        <v>35</v>
      </c>
      <c r="C36" s="4" t="s">
        <v>93</v>
      </c>
      <c r="D36" s="4" t="s">
        <v>267</v>
      </c>
      <c r="E36" s="4" t="s">
        <v>273</v>
      </c>
      <c r="F36" s="4" t="s">
        <v>309</v>
      </c>
      <c r="H36" s="4" t="s">
        <v>335</v>
      </c>
      <c r="I36" s="4" t="s">
        <v>330</v>
      </c>
      <c r="J36" s="4">
        <v>22</v>
      </c>
      <c r="K36" s="4">
        <v>12</v>
      </c>
      <c r="L36" s="4">
        <v>0.1</v>
      </c>
      <c r="M36" s="7">
        <v>1</v>
      </c>
    </row>
    <row r="37" spans="1:13" x14ac:dyDescent="0.25">
      <c r="A37" s="2" t="s">
        <v>253</v>
      </c>
      <c r="B37" s="4">
        <v>36</v>
      </c>
      <c r="C37" s="4" t="s">
        <v>93</v>
      </c>
      <c r="D37" s="4" t="s">
        <v>267</v>
      </c>
      <c r="E37" s="4" t="s">
        <v>273</v>
      </c>
      <c r="H37" s="4" t="s">
        <v>337</v>
      </c>
      <c r="I37" s="4" t="s">
        <v>330</v>
      </c>
      <c r="J37" s="4">
        <v>30</v>
      </c>
      <c r="K37" s="4">
        <v>14</v>
      </c>
      <c r="L37" s="4">
        <v>0.1</v>
      </c>
      <c r="M37" s="7">
        <v>0</v>
      </c>
    </row>
    <row r="38" spans="1:13" x14ac:dyDescent="0.25">
      <c r="A38" s="2" t="s">
        <v>253</v>
      </c>
      <c r="B38" s="4">
        <v>37</v>
      </c>
      <c r="C38" s="4" t="s">
        <v>93</v>
      </c>
      <c r="D38" s="4" t="s">
        <v>267</v>
      </c>
      <c r="E38" s="4" t="s">
        <v>273</v>
      </c>
      <c r="H38" s="4" t="s">
        <v>337</v>
      </c>
      <c r="I38" s="4" t="s">
        <v>330</v>
      </c>
      <c r="J38" s="4">
        <v>26</v>
      </c>
      <c r="K38" s="4">
        <v>17</v>
      </c>
      <c r="L38" s="4">
        <v>0.1</v>
      </c>
      <c r="M38" s="7">
        <v>1</v>
      </c>
    </row>
    <row r="39" spans="1:13" x14ac:dyDescent="0.25">
      <c r="A39" s="2" t="s">
        <v>253</v>
      </c>
      <c r="B39" s="4">
        <v>38</v>
      </c>
      <c r="C39" s="4" t="s">
        <v>93</v>
      </c>
      <c r="D39" s="4" t="s">
        <v>267</v>
      </c>
      <c r="E39" s="4" t="s">
        <v>273</v>
      </c>
      <c r="H39" s="4" t="s">
        <v>337</v>
      </c>
      <c r="I39" s="4" t="s">
        <v>330</v>
      </c>
      <c r="J39" s="4">
        <v>29</v>
      </c>
      <c r="K39" s="4">
        <v>7</v>
      </c>
      <c r="L39" s="4">
        <v>0.1</v>
      </c>
      <c r="M39" s="7">
        <v>1</v>
      </c>
    </row>
    <row r="40" spans="1:13" x14ac:dyDescent="0.25">
      <c r="A40" s="2" t="s">
        <v>253</v>
      </c>
      <c r="B40" s="4">
        <v>39</v>
      </c>
      <c r="C40" s="4" t="s">
        <v>93</v>
      </c>
      <c r="D40" s="4" t="s">
        <v>270</v>
      </c>
      <c r="E40" s="4" t="s">
        <v>281</v>
      </c>
      <c r="H40" s="4" t="s">
        <v>335</v>
      </c>
      <c r="I40" s="4" t="s">
        <v>332</v>
      </c>
      <c r="J40" s="4">
        <v>4</v>
      </c>
      <c r="K40" s="4">
        <v>3</v>
      </c>
      <c r="L40" s="4">
        <v>0.5</v>
      </c>
      <c r="M40" s="7">
        <v>0</v>
      </c>
    </row>
    <row r="41" spans="1:13" x14ac:dyDescent="0.25">
      <c r="A41" s="2" t="s">
        <v>253</v>
      </c>
      <c r="B41" s="4">
        <v>40</v>
      </c>
      <c r="C41" s="4" t="s">
        <v>93</v>
      </c>
      <c r="D41" s="4" t="s">
        <v>267</v>
      </c>
      <c r="E41" s="4" t="s">
        <v>273</v>
      </c>
      <c r="F41" s="4" t="s">
        <v>311</v>
      </c>
      <c r="G41" s="4" t="s">
        <v>310</v>
      </c>
      <c r="H41" s="4" t="s">
        <v>336</v>
      </c>
      <c r="I41" s="4" t="s">
        <v>330</v>
      </c>
      <c r="J41" s="4">
        <v>23</v>
      </c>
      <c r="K41" s="4">
        <v>16</v>
      </c>
      <c r="L41" s="4">
        <v>0.1</v>
      </c>
      <c r="M41" s="7">
        <v>1</v>
      </c>
    </row>
    <row r="42" spans="1:13" x14ac:dyDescent="0.25">
      <c r="A42" s="2" t="s">
        <v>253</v>
      </c>
      <c r="B42" s="4">
        <v>41</v>
      </c>
      <c r="C42" s="4" t="s">
        <v>93</v>
      </c>
      <c r="D42" s="4" t="s">
        <v>267</v>
      </c>
      <c r="E42" s="4" t="s">
        <v>279</v>
      </c>
      <c r="H42" s="4" t="s">
        <v>338</v>
      </c>
      <c r="I42" s="4" t="s">
        <v>330</v>
      </c>
      <c r="J42" s="4">
        <v>46</v>
      </c>
      <c r="K42" s="4">
        <v>27</v>
      </c>
      <c r="L42" s="4">
        <v>0.3</v>
      </c>
      <c r="M42" s="7">
        <v>1</v>
      </c>
    </row>
    <row r="43" spans="1:13" x14ac:dyDescent="0.25">
      <c r="A43" s="2" t="s">
        <v>253</v>
      </c>
      <c r="B43" s="4">
        <v>42</v>
      </c>
      <c r="C43" s="4" t="s">
        <v>93</v>
      </c>
      <c r="D43" s="4" t="s">
        <v>267</v>
      </c>
      <c r="E43" s="4" t="s">
        <v>273</v>
      </c>
      <c r="F43" s="4" t="s">
        <v>287</v>
      </c>
      <c r="G43" s="4" t="s">
        <v>293</v>
      </c>
      <c r="H43" s="4" t="s">
        <v>337</v>
      </c>
      <c r="I43" s="4" t="s">
        <v>330</v>
      </c>
      <c r="J43" s="4">
        <v>17.5</v>
      </c>
      <c r="K43" s="4">
        <v>5.5</v>
      </c>
      <c r="L43" s="4">
        <v>0.1</v>
      </c>
      <c r="M43" s="7">
        <v>1</v>
      </c>
    </row>
    <row r="44" spans="1:13" x14ac:dyDescent="0.25">
      <c r="A44" s="2" t="s">
        <v>253</v>
      </c>
      <c r="B44" s="4">
        <v>43</v>
      </c>
      <c r="C44" s="4" t="s">
        <v>93</v>
      </c>
      <c r="D44" s="4" t="s">
        <v>267</v>
      </c>
      <c r="E44" s="4" t="s">
        <v>279</v>
      </c>
      <c r="H44" s="4" t="s">
        <v>335</v>
      </c>
      <c r="I44" s="4" t="s">
        <v>330</v>
      </c>
      <c r="J44" s="4">
        <v>38</v>
      </c>
      <c r="K44" s="4">
        <v>16</v>
      </c>
      <c r="L44" s="4">
        <v>0.1</v>
      </c>
      <c r="M44" s="7">
        <v>1</v>
      </c>
    </row>
    <row r="45" spans="1:13" x14ac:dyDescent="0.25">
      <c r="A45" s="2" t="s">
        <v>253</v>
      </c>
      <c r="B45" s="4">
        <v>44</v>
      </c>
      <c r="C45" s="4" t="s">
        <v>93</v>
      </c>
      <c r="D45" s="4" t="s">
        <v>267</v>
      </c>
      <c r="E45" s="4" t="s">
        <v>273</v>
      </c>
      <c r="F45" s="4" t="s">
        <v>242</v>
      </c>
      <c r="G45" s="4" t="s">
        <v>312</v>
      </c>
      <c r="H45" s="4" t="s">
        <v>333</v>
      </c>
      <c r="I45" s="4" t="s">
        <v>330</v>
      </c>
      <c r="J45" s="4">
        <v>15</v>
      </c>
      <c r="K45" s="4">
        <v>4.5</v>
      </c>
      <c r="L45" s="4">
        <v>1</v>
      </c>
      <c r="M45" s="7">
        <v>1</v>
      </c>
    </row>
    <row r="46" spans="1:13" x14ac:dyDescent="0.25">
      <c r="A46" s="2" t="s">
        <v>253</v>
      </c>
      <c r="B46" s="4">
        <v>45</v>
      </c>
      <c r="C46" s="4" t="s">
        <v>93</v>
      </c>
      <c r="D46" s="4" t="s">
        <v>267</v>
      </c>
      <c r="E46" s="4" t="s">
        <v>275</v>
      </c>
      <c r="H46" s="4" t="s">
        <v>337</v>
      </c>
      <c r="I46" s="4" t="s">
        <v>330</v>
      </c>
      <c r="J46" s="4">
        <v>24.5</v>
      </c>
      <c r="K46" s="4">
        <v>0.5</v>
      </c>
      <c r="L46" s="4">
        <v>0.5</v>
      </c>
      <c r="M46" s="7">
        <v>0</v>
      </c>
    </row>
    <row r="47" spans="1:13" x14ac:dyDescent="0.25">
      <c r="A47" s="2" t="s">
        <v>253</v>
      </c>
      <c r="B47" s="4">
        <v>46</v>
      </c>
      <c r="C47" s="4" t="s">
        <v>93</v>
      </c>
      <c r="D47" s="4" t="s">
        <v>267</v>
      </c>
      <c r="E47" s="4" t="s">
        <v>273</v>
      </c>
      <c r="F47" s="4" t="s">
        <v>309</v>
      </c>
      <c r="H47" s="4" t="s">
        <v>335</v>
      </c>
      <c r="I47" s="4" t="s">
        <v>330</v>
      </c>
      <c r="J47" s="4">
        <v>16</v>
      </c>
      <c r="K47" s="4">
        <v>11</v>
      </c>
      <c r="L47" s="4">
        <v>0.01</v>
      </c>
      <c r="M47" s="7">
        <v>1</v>
      </c>
    </row>
    <row r="48" spans="1:13" x14ac:dyDescent="0.25">
      <c r="A48" s="2" t="s">
        <v>253</v>
      </c>
      <c r="B48" s="4">
        <v>47</v>
      </c>
      <c r="C48" s="4" t="s">
        <v>93</v>
      </c>
      <c r="D48" s="4" t="s">
        <v>267</v>
      </c>
      <c r="E48" s="4" t="s">
        <v>273</v>
      </c>
      <c r="F48" s="4" t="s">
        <v>313</v>
      </c>
      <c r="H48" s="4" t="s">
        <v>337</v>
      </c>
      <c r="I48" s="4" t="s">
        <v>330</v>
      </c>
      <c r="J48" s="4">
        <v>27</v>
      </c>
      <c r="K48" s="4">
        <v>5</v>
      </c>
      <c r="L48" s="4">
        <v>0.01</v>
      </c>
      <c r="M48" s="7">
        <v>1</v>
      </c>
    </row>
    <row r="49" spans="1:14" x14ac:dyDescent="0.25">
      <c r="A49" s="2" t="s">
        <v>253</v>
      </c>
      <c r="B49" s="4">
        <v>48</v>
      </c>
      <c r="C49" s="4" t="s">
        <v>93</v>
      </c>
      <c r="D49" s="4" t="s">
        <v>267</v>
      </c>
      <c r="E49" s="4" t="s">
        <v>278</v>
      </c>
      <c r="H49" s="4" t="s">
        <v>337</v>
      </c>
      <c r="I49" s="4" t="s">
        <v>330</v>
      </c>
      <c r="J49" s="4">
        <v>30</v>
      </c>
      <c r="K49" s="4">
        <v>10</v>
      </c>
      <c r="L49" s="4">
        <v>0.01</v>
      </c>
      <c r="M49" s="7">
        <v>1</v>
      </c>
    </row>
    <row r="50" spans="1:14" x14ac:dyDescent="0.25">
      <c r="A50" s="2" t="s">
        <v>253</v>
      </c>
      <c r="B50" s="4">
        <v>49</v>
      </c>
      <c r="C50" s="4" t="s">
        <v>93</v>
      </c>
      <c r="D50" s="4" t="s">
        <v>243</v>
      </c>
      <c r="E50" s="4" t="s">
        <v>277</v>
      </c>
      <c r="H50" s="4" t="s">
        <v>335</v>
      </c>
      <c r="I50" s="4" t="s">
        <v>332</v>
      </c>
      <c r="J50" s="4">
        <v>9</v>
      </c>
      <c r="K50" s="4">
        <v>0.3</v>
      </c>
      <c r="L50" s="4">
        <v>0.3</v>
      </c>
      <c r="M50" s="7">
        <v>1</v>
      </c>
    </row>
    <row r="51" spans="1:14" x14ac:dyDescent="0.25">
      <c r="A51" s="2" t="s">
        <v>253</v>
      </c>
      <c r="B51" s="4">
        <v>50</v>
      </c>
      <c r="C51" s="4" t="s">
        <v>93</v>
      </c>
      <c r="D51" s="4" t="s">
        <v>267</v>
      </c>
      <c r="E51" s="4" t="s">
        <v>273</v>
      </c>
      <c r="F51" t="s">
        <v>316</v>
      </c>
      <c r="G51" s="4" t="s">
        <v>314</v>
      </c>
      <c r="H51" s="4" t="s">
        <v>336</v>
      </c>
      <c r="I51" s="4" t="s">
        <v>330</v>
      </c>
      <c r="J51" s="4">
        <v>28.5</v>
      </c>
      <c r="K51" s="4">
        <v>8.5</v>
      </c>
      <c r="L51" s="4">
        <v>0.1</v>
      </c>
      <c r="M51" s="7">
        <v>1</v>
      </c>
    </row>
    <row r="52" spans="1:14" x14ac:dyDescent="0.25">
      <c r="A52" s="2" t="s">
        <v>253</v>
      </c>
      <c r="B52" s="4">
        <v>51</v>
      </c>
      <c r="C52" s="4" t="s">
        <v>93</v>
      </c>
      <c r="D52" s="4" t="s">
        <v>267</v>
      </c>
      <c r="E52" s="4" t="s">
        <v>273</v>
      </c>
      <c r="F52" s="4" t="s">
        <v>311</v>
      </c>
      <c r="G52" s="4" t="s">
        <v>315</v>
      </c>
      <c r="H52" s="4" t="s">
        <v>336</v>
      </c>
      <c r="I52" s="4" t="s">
        <v>330</v>
      </c>
      <c r="J52" s="4">
        <v>23</v>
      </c>
      <c r="K52" s="4">
        <v>17</v>
      </c>
      <c r="L52" s="4">
        <v>0.1</v>
      </c>
      <c r="M52" s="7">
        <v>1</v>
      </c>
    </row>
    <row r="53" spans="1:14" x14ac:dyDescent="0.25">
      <c r="A53" s="2" t="s">
        <v>253</v>
      </c>
      <c r="B53" s="4">
        <v>52</v>
      </c>
      <c r="C53" s="4" t="s">
        <v>93</v>
      </c>
      <c r="D53" s="4" t="s">
        <v>267</v>
      </c>
      <c r="E53" s="4" t="s">
        <v>273</v>
      </c>
      <c r="F53" s="4" t="s">
        <v>313</v>
      </c>
      <c r="H53" s="4" t="s">
        <v>337</v>
      </c>
      <c r="I53" s="4" t="s">
        <v>330</v>
      </c>
      <c r="J53" s="4">
        <v>24</v>
      </c>
      <c r="K53" s="4">
        <v>4.5</v>
      </c>
      <c r="L53" s="4">
        <v>0.1</v>
      </c>
      <c r="M53" s="7">
        <v>1</v>
      </c>
    </row>
    <row r="54" spans="1:14" x14ac:dyDescent="0.25">
      <c r="A54" s="2" t="s">
        <v>253</v>
      </c>
      <c r="B54" s="4">
        <v>53</v>
      </c>
      <c r="C54" s="4" t="s">
        <v>93</v>
      </c>
      <c r="D54" s="4" t="s">
        <v>267</v>
      </c>
      <c r="E54" s="4" t="s">
        <v>273</v>
      </c>
      <c r="F54" s="4" t="s">
        <v>309</v>
      </c>
      <c r="H54" s="4" t="s">
        <v>335</v>
      </c>
      <c r="I54" s="4" t="s">
        <v>330</v>
      </c>
      <c r="J54" s="4">
        <v>17</v>
      </c>
      <c r="K54" s="4">
        <v>11</v>
      </c>
      <c r="L54" s="4">
        <v>0.1</v>
      </c>
      <c r="M54" s="7">
        <v>0</v>
      </c>
    </row>
    <row r="55" spans="1:14" x14ac:dyDescent="0.25">
      <c r="A55" s="2" t="s">
        <v>253</v>
      </c>
      <c r="B55" s="4">
        <v>54</v>
      </c>
      <c r="C55" s="4" t="s">
        <v>93</v>
      </c>
      <c r="D55" s="4" t="s">
        <v>267</v>
      </c>
      <c r="E55" s="4" t="s">
        <v>278</v>
      </c>
      <c r="F55" s="4" t="s">
        <v>282</v>
      </c>
      <c r="H55" s="4" t="s">
        <v>335</v>
      </c>
      <c r="I55" s="4" t="s">
        <v>330</v>
      </c>
      <c r="J55" s="4">
        <v>8</v>
      </c>
      <c r="K55" s="4">
        <v>1</v>
      </c>
      <c r="L55" s="4">
        <v>0.1</v>
      </c>
      <c r="M55" s="7">
        <v>0</v>
      </c>
    </row>
    <row r="56" spans="1:14" x14ac:dyDescent="0.25">
      <c r="A56" s="2" t="s">
        <v>253</v>
      </c>
      <c r="B56" s="4">
        <v>55</v>
      </c>
      <c r="C56" s="4" t="s">
        <v>93</v>
      </c>
      <c r="D56" s="4" t="s">
        <v>267</v>
      </c>
      <c r="E56" s="4" t="s">
        <v>275</v>
      </c>
      <c r="H56" s="4" t="s">
        <v>338</v>
      </c>
      <c r="I56" s="4" t="s">
        <v>330</v>
      </c>
      <c r="J56" s="4">
        <v>24.5</v>
      </c>
      <c r="K56" s="4">
        <v>0.5</v>
      </c>
      <c r="L56" s="4">
        <v>0.5</v>
      </c>
      <c r="M56" s="7">
        <v>0</v>
      </c>
    </row>
    <row r="57" spans="1:14" x14ac:dyDescent="0.25">
      <c r="A57" s="2" t="s">
        <v>253</v>
      </c>
      <c r="B57" s="4">
        <v>56</v>
      </c>
      <c r="C57" s="4" t="s">
        <v>93</v>
      </c>
      <c r="D57" s="4" t="s">
        <v>267</v>
      </c>
      <c r="E57" s="4" t="s">
        <v>279</v>
      </c>
      <c r="H57" s="4" t="s">
        <v>335</v>
      </c>
      <c r="I57" s="4" t="s">
        <v>330</v>
      </c>
      <c r="J57" s="4">
        <v>24</v>
      </c>
      <c r="K57" s="4">
        <v>15</v>
      </c>
      <c r="L57" s="4">
        <v>0.1</v>
      </c>
      <c r="M57" s="7">
        <v>1</v>
      </c>
    </row>
    <row r="58" spans="1:14" x14ac:dyDescent="0.25">
      <c r="A58" s="2" t="s">
        <v>253</v>
      </c>
      <c r="B58" s="4">
        <v>57</v>
      </c>
      <c r="C58" s="4" t="s">
        <v>93</v>
      </c>
      <c r="D58" s="4" t="s">
        <v>267</v>
      </c>
      <c r="E58" s="4" t="s">
        <v>273</v>
      </c>
      <c r="H58" s="4" t="s">
        <v>337</v>
      </c>
      <c r="I58" s="4" t="s">
        <v>330</v>
      </c>
      <c r="J58" s="4">
        <v>35</v>
      </c>
      <c r="K58" s="4">
        <v>23</v>
      </c>
      <c r="L58" s="4">
        <v>0.1</v>
      </c>
      <c r="M58" s="7">
        <v>1</v>
      </c>
    </row>
    <row r="59" spans="1:14" x14ac:dyDescent="0.25">
      <c r="A59" s="2" t="s">
        <v>253</v>
      </c>
      <c r="B59" s="4">
        <v>58</v>
      </c>
      <c r="C59" s="4" t="s">
        <v>93</v>
      </c>
      <c r="D59" s="4" t="s">
        <v>267</v>
      </c>
      <c r="E59" s="4" t="s">
        <v>279</v>
      </c>
      <c r="H59" s="4" t="s">
        <v>335</v>
      </c>
      <c r="I59" s="4" t="s">
        <v>330</v>
      </c>
      <c r="J59" s="4">
        <v>23.5</v>
      </c>
      <c r="K59" s="4">
        <v>36</v>
      </c>
      <c r="L59" s="4">
        <v>0.1</v>
      </c>
      <c r="M59" s="7">
        <v>1</v>
      </c>
    </row>
    <row r="60" spans="1:14" x14ac:dyDescent="0.25">
      <c r="A60" s="2" t="s">
        <v>253</v>
      </c>
      <c r="B60" s="4">
        <v>59</v>
      </c>
      <c r="C60" s="4" t="s">
        <v>93</v>
      </c>
      <c r="D60" s="4" t="s">
        <v>267</v>
      </c>
      <c r="E60" s="4" t="s">
        <v>273</v>
      </c>
      <c r="F60" s="4" t="s">
        <v>316</v>
      </c>
      <c r="H60" s="4" t="s">
        <v>337</v>
      </c>
      <c r="I60" s="4" t="s">
        <v>330</v>
      </c>
      <c r="J60" s="4">
        <v>37</v>
      </c>
      <c r="K60" s="4">
        <v>12</v>
      </c>
      <c r="L60" s="4">
        <v>0.1</v>
      </c>
      <c r="M60" s="7">
        <v>1</v>
      </c>
    </row>
    <row r="61" spans="1:14" x14ac:dyDescent="0.25">
      <c r="A61" s="2" t="s">
        <v>253</v>
      </c>
      <c r="B61" s="4">
        <v>60</v>
      </c>
      <c r="C61" s="4" t="s">
        <v>93</v>
      </c>
      <c r="D61" s="4" t="s">
        <v>267</v>
      </c>
      <c r="E61" s="4" t="s">
        <v>273</v>
      </c>
      <c r="H61" s="4" t="s">
        <v>337</v>
      </c>
      <c r="I61" s="4" t="s">
        <v>330</v>
      </c>
      <c r="J61" s="4">
        <v>33</v>
      </c>
      <c r="K61" s="4">
        <v>17</v>
      </c>
      <c r="L61" s="4">
        <v>0.1</v>
      </c>
      <c r="M61" s="7">
        <v>1</v>
      </c>
    </row>
    <row r="62" spans="1:14" x14ac:dyDescent="0.25">
      <c r="A62" s="2" t="s">
        <v>253</v>
      </c>
      <c r="B62" s="4">
        <v>61</v>
      </c>
      <c r="C62" s="4" t="s">
        <v>93</v>
      </c>
      <c r="D62" s="4" t="s">
        <v>270</v>
      </c>
      <c r="E62" s="4" t="s">
        <v>280</v>
      </c>
      <c r="H62" s="4" t="s">
        <v>333</v>
      </c>
      <c r="I62" s="4" t="s">
        <v>332</v>
      </c>
      <c r="J62" s="4">
        <v>6</v>
      </c>
      <c r="K62" s="4">
        <v>1.5</v>
      </c>
      <c r="L62" s="4">
        <v>1.5</v>
      </c>
      <c r="M62" s="7">
        <v>0</v>
      </c>
    </row>
    <row r="63" spans="1:14" x14ac:dyDescent="0.25">
      <c r="A63" s="2" t="s">
        <v>253</v>
      </c>
      <c r="B63" s="4">
        <v>62</v>
      </c>
      <c r="C63" s="4" t="s">
        <v>93</v>
      </c>
      <c r="D63" s="4" t="s">
        <v>267</v>
      </c>
      <c r="E63" s="4" t="s">
        <v>273</v>
      </c>
      <c r="H63" s="4" t="s">
        <v>337</v>
      </c>
      <c r="I63" s="4" t="s">
        <v>330</v>
      </c>
      <c r="J63" s="4">
        <v>21</v>
      </c>
      <c r="K63" s="4">
        <v>13</v>
      </c>
      <c r="L63" s="4">
        <v>0.1</v>
      </c>
      <c r="M63" s="7">
        <v>1</v>
      </c>
      <c r="N63" t="s">
        <v>302</v>
      </c>
    </row>
    <row r="64" spans="1:14" x14ac:dyDescent="0.25">
      <c r="A64" s="2" t="s">
        <v>253</v>
      </c>
      <c r="B64" s="4">
        <v>63</v>
      </c>
      <c r="C64" s="4" t="s">
        <v>93</v>
      </c>
      <c r="D64" s="4" t="s">
        <v>270</v>
      </c>
      <c r="E64" s="4" t="s">
        <v>278</v>
      </c>
      <c r="F64" s="4" t="s">
        <v>317</v>
      </c>
      <c r="H64" s="4" t="s">
        <v>335</v>
      </c>
      <c r="I64" s="4" t="s">
        <v>332</v>
      </c>
      <c r="J64" s="4">
        <v>5</v>
      </c>
      <c r="K64" s="4">
        <v>4</v>
      </c>
      <c r="L64" s="4">
        <v>1</v>
      </c>
      <c r="M64" s="7">
        <v>1</v>
      </c>
    </row>
    <row r="65" spans="1:13" x14ac:dyDescent="0.25">
      <c r="A65" s="2" t="s">
        <v>253</v>
      </c>
      <c r="B65" s="4">
        <v>64</v>
      </c>
      <c r="C65" s="4" t="s">
        <v>93</v>
      </c>
      <c r="D65" s="4" t="s">
        <v>267</v>
      </c>
      <c r="E65" s="4" t="s">
        <v>273</v>
      </c>
      <c r="H65" s="4" t="s">
        <v>337</v>
      </c>
      <c r="I65" s="4" t="s">
        <v>330</v>
      </c>
      <c r="J65" s="4">
        <v>35</v>
      </c>
      <c r="K65" s="4">
        <v>18</v>
      </c>
      <c r="L65" s="4">
        <v>0.1</v>
      </c>
      <c r="M65" s="7">
        <v>1</v>
      </c>
    </row>
    <row r="66" spans="1:13" x14ac:dyDescent="0.25">
      <c r="A66" s="2" t="s">
        <v>253</v>
      </c>
      <c r="B66" s="4">
        <v>65</v>
      </c>
      <c r="C66" s="4" t="s">
        <v>93</v>
      </c>
      <c r="D66" s="4" t="s">
        <v>267</v>
      </c>
      <c r="E66" s="4" t="s">
        <v>273</v>
      </c>
      <c r="H66" s="4" t="s">
        <v>337</v>
      </c>
      <c r="I66" s="4" t="s">
        <v>330</v>
      </c>
      <c r="J66" s="4">
        <v>26</v>
      </c>
      <c r="K66" s="4">
        <v>17.5</v>
      </c>
      <c r="L66" s="4">
        <v>0.1</v>
      </c>
      <c r="M66" s="7">
        <v>1</v>
      </c>
    </row>
    <row r="67" spans="1:13" x14ac:dyDescent="0.25">
      <c r="A67" s="2" t="s">
        <v>253</v>
      </c>
      <c r="B67" s="4">
        <v>66</v>
      </c>
      <c r="C67" s="4" t="s">
        <v>93</v>
      </c>
      <c r="D67" s="4" t="s">
        <v>267</v>
      </c>
      <c r="E67" s="4" t="s">
        <v>273</v>
      </c>
      <c r="H67" s="4" t="s">
        <v>337</v>
      </c>
      <c r="I67" s="4" t="s">
        <v>330</v>
      </c>
      <c r="J67" s="4">
        <v>24.5</v>
      </c>
      <c r="K67" s="4">
        <v>16</v>
      </c>
      <c r="L67" s="4">
        <v>0.1</v>
      </c>
      <c r="M67" s="7">
        <v>1</v>
      </c>
    </row>
    <row r="68" spans="1:13" x14ac:dyDescent="0.25">
      <c r="A68" s="2" t="s">
        <v>253</v>
      </c>
      <c r="B68" s="4">
        <v>67</v>
      </c>
      <c r="C68" s="4" t="s">
        <v>93</v>
      </c>
      <c r="D68" s="4" t="s">
        <v>267</v>
      </c>
      <c r="E68" s="4" t="s">
        <v>273</v>
      </c>
      <c r="F68" s="4" t="s">
        <v>319</v>
      </c>
      <c r="G68" s="4" t="s">
        <v>318</v>
      </c>
      <c r="H68" s="4" t="s">
        <v>338</v>
      </c>
      <c r="I68" s="4" t="s">
        <v>330</v>
      </c>
      <c r="J68" s="4">
        <v>24</v>
      </c>
      <c r="K68" s="4">
        <v>17.5</v>
      </c>
      <c r="L68" s="4">
        <v>0.1</v>
      </c>
      <c r="M68" s="7">
        <v>1</v>
      </c>
    </row>
    <row r="69" spans="1:13" x14ac:dyDescent="0.25">
      <c r="A69" s="2" t="s">
        <v>253</v>
      </c>
      <c r="B69" s="4">
        <v>68</v>
      </c>
      <c r="C69" s="4" t="s">
        <v>93</v>
      </c>
      <c r="D69" s="4" t="s">
        <v>267</v>
      </c>
      <c r="E69" s="4" t="s">
        <v>273</v>
      </c>
      <c r="H69" s="4" t="s">
        <v>335</v>
      </c>
      <c r="I69" s="4" t="s">
        <v>330</v>
      </c>
      <c r="J69" s="4">
        <v>20</v>
      </c>
      <c r="K69" s="4">
        <v>16</v>
      </c>
      <c r="L69" s="4">
        <v>0.1</v>
      </c>
      <c r="M69" s="7">
        <v>1</v>
      </c>
    </row>
    <row r="70" spans="1:13" x14ac:dyDescent="0.25">
      <c r="A70" s="2" t="s">
        <v>253</v>
      </c>
      <c r="B70" s="4">
        <v>69</v>
      </c>
      <c r="C70" s="4" t="s">
        <v>93</v>
      </c>
      <c r="D70" s="4" t="s">
        <v>267</v>
      </c>
      <c r="E70" s="4" t="s">
        <v>275</v>
      </c>
      <c r="H70" s="4" t="s">
        <v>336</v>
      </c>
      <c r="I70" s="4" t="s">
        <v>330</v>
      </c>
      <c r="J70" s="4">
        <v>23</v>
      </c>
      <c r="K70" s="4">
        <v>0.5</v>
      </c>
      <c r="L70" s="4">
        <v>0.5</v>
      </c>
      <c r="M70" s="7">
        <v>1</v>
      </c>
    </row>
    <row r="71" spans="1:13" x14ac:dyDescent="0.25">
      <c r="A71" s="2" t="s">
        <v>253</v>
      </c>
      <c r="B71" s="4">
        <v>70</v>
      </c>
      <c r="C71" s="4" t="s">
        <v>93</v>
      </c>
      <c r="D71" s="4" t="s">
        <v>267</v>
      </c>
      <c r="E71" s="4" t="s">
        <v>279</v>
      </c>
      <c r="H71" s="4" t="s">
        <v>338</v>
      </c>
      <c r="I71" s="4" t="s">
        <v>330</v>
      </c>
      <c r="J71" s="4">
        <v>26</v>
      </c>
      <c r="K71" s="4">
        <v>20</v>
      </c>
      <c r="L71" s="4">
        <v>0.1</v>
      </c>
      <c r="M71" s="7">
        <v>1</v>
      </c>
    </row>
    <row r="72" spans="1:13" x14ac:dyDescent="0.25">
      <c r="A72" s="2" t="s">
        <v>253</v>
      </c>
      <c r="B72" s="4">
        <v>71</v>
      </c>
      <c r="C72" s="4" t="s">
        <v>93</v>
      </c>
      <c r="D72" s="4" t="s">
        <v>267</v>
      </c>
      <c r="E72" s="4" t="s">
        <v>273</v>
      </c>
      <c r="F72" s="4" t="s">
        <v>290</v>
      </c>
      <c r="G72" s="4" t="s">
        <v>320</v>
      </c>
      <c r="H72" s="4" t="s">
        <v>335</v>
      </c>
      <c r="I72" s="4" t="s">
        <v>330</v>
      </c>
      <c r="J72" s="4">
        <v>22</v>
      </c>
      <c r="K72" s="4">
        <v>13.5</v>
      </c>
      <c r="L72" s="4">
        <v>0.1</v>
      </c>
      <c r="M72" s="7">
        <v>1</v>
      </c>
    </row>
    <row r="73" spans="1:13" x14ac:dyDescent="0.25">
      <c r="A73" s="2" t="s">
        <v>254</v>
      </c>
      <c r="B73" s="4">
        <v>72</v>
      </c>
      <c r="C73" s="4" t="s">
        <v>95</v>
      </c>
      <c r="D73" s="4" t="s">
        <v>267</v>
      </c>
      <c r="E73" s="4" t="s">
        <v>282</v>
      </c>
      <c r="H73" s="4" t="s">
        <v>335</v>
      </c>
      <c r="I73" s="4" t="s">
        <v>332</v>
      </c>
      <c r="J73" s="4">
        <v>10</v>
      </c>
      <c r="K73" s="4">
        <v>8</v>
      </c>
      <c r="L73" s="4">
        <v>2</v>
      </c>
      <c r="M73" s="7">
        <v>1</v>
      </c>
    </row>
    <row r="74" spans="1:13" x14ac:dyDescent="0.25">
      <c r="A74" s="2" t="s">
        <v>254</v>
      </c>
      <c r="B74" s="4">
        <v>73</v>
      </c>
      <c r="C74" s="4" t="s">
        <v>95</v>
      </c>
      <c r="D74" s="4" t="s">
        <v>267</v>
      </c>
      <c r="E74" s="4" t="s">
        <v>273</v>
      </c>
      <c r="F74" s="4" t="s">
        <v>313</v>
      </c>
      <c r="H74" s="4" t="s">
        <v>337</v>
      </c>
      <c r="I74" s="4" t="s">
        <v>330</v>
      </c>
      <c r="J74" s="4">
        <v>22</v>
      </c>
      <c r="K74" s="4">
        <v>2.5</v>
      </c>
      <c r="L74" s="4">
        <v>0.01</v>
      </c>
      <c r="M74" s="7">
        <v>0</v>
      </c>
    </row>
    <row r="75" spans="1:13" x14ac:dyDescent="0.25">
      <c r="A75" s="2" t="s">
        <v>254</v>
      </c>
      <c r="B75" s="4">
        <v>74</v>
      </c>
      <c r="C75" s="4" t="s">
        <v>95</v>
      </c>
      <c r="D75" s="4" t="s">
        <v>270</v>
      </c>
      <c r="E75" s="4" t="s">
        <v>280</v>
      </c>
      <c r="H75" s="4" t="s">
        <v>333</v>
      </c>
      <c r="I75" s="4" t="s">
        <v>332</v>
      </c>
      <c r="J75" s="4">
        <v>13</v>
      </c>
      <c r="K75" s="4">
        <v>4</v>
      </c>
      <c r="L75" s="4">
        <v>3</v>
      </c>
      <c r="M75" s="7">
        <v>1</v>
      </c>
    </row>
    <row r="76" spans="1:13" x14ac:dyDescent="0.25">
      <c r="A76" s="2" t="s">
        <v>254</v>
      </c>
      <c r="B76" s="4">
        <v>75</v>
      </c>
      <c r="C76" s="4" t="s">
        <v>95</v>
      </c>
      <c r="D76" s="4" t="s">
        <v>270</v>
      </c>
      <c r="E76" s="4" t="s">
        <v>281</v>
      </c>
      <c r="H76" s="4" t="s">
        <v>335</v>
      </c>
      <c r="I76" s="4" t="s">
        <v>332</v>
      </c>
      <c r="J76" s="4">
        <v>5</v>
      </c>
      <c r="K76" s="4">
        <v>3</v>
      </c>
      <c r="L76" s="4">
        <v>0.5</v>
      </c>
      <c r="M76" s="7">
        <v>1</v>
      </c>
    </row>
    <row r="77" spans="1:13" x14ac:dyDescent="0.25">
      <c r="A77" s="2" t="s">
        <v>254</v>
      </c>
      <c r="B77" s="4">
        <v>76</v>
      </c>
      <c r="C77" s="4" t="s">
        <v>95</v>
      </c>
      <c r="D77" s="4" t="s">
        <v>267</v>
      </c>
      <c r="E77" s="4" t="s">
        <v>273</v>
      </c>
      <c r="F77" s="4" t="s">
        <v>291</v>
      </c>
      <c r="G77" s="4" t="s">
        <v>321</v>
      </c>
      <c r="H77" s="4" t="s">
        <v>338</v>
      </c>
      <c r="I77" s="4" t="s">
        <v>330</v>
      </c>
      <c r="J77" s="4">
        <v>24.5</v>
      </c>
      <c r="K77" s="4">
        <v>16.5</v>
      </c>
      <c r="L77" s="4">
        <v>0.1</v>
      </c>
      <c r="M77" s="7">
        <v>1</v>
      </c>
    </row>
    <row r="78" spans="1:13" x14ac:dyDescent="0.25">
      <c r="A78" s="2" t="s">
        <v>254</v>
      </c>
      <c r="B78" s="4">
        <v>77</v>
      </c>
      <c r="C78" s="4" t="s">
        <v>95</v>
      </c>
      <c r="D78" s="4" t="s">
        <v>267</v>
      </c>
      <c r="E78" s="4" t="s">
        <v>279</v>
      </c>
      <c r="H78" s="4" t="s">
        <v>335</v>
      </c>
      <c r="I78" s="4" t="s">
        <v>330</v>
      </c>
      <c r="J78" s="4">
        <v>39</v>
      </c>
      <c r="K78" s="4">
        <v>24.5</v>
      </c>
      <c r="L78" s="4">
        <v>0.3</v>
      </c>
      <c r="M78" s="7">
        <v>1</v>
      </c>
    </row>
    <row r="79" spans="1:13" x14ac:dyDescent="0.25">
      <c r="A79" s="2" t="s">
        <v>254</v>
      </c>
      <c r="B79" s="4">
        <v>78</v>
      </c>
      <c r="C79" s="4" t="s">
        <v>95</v>
      </c>
      <c r="D79" s="4" t="s">
        <v>267</v>
      </c>
      <c r="E79" s="4" t="s">
        <v>279</v>
      </c>
      <c r="H79" s="4" t="s">
        <v>333</v>
      </c>
      <c r="I79" s="4" t="s">
        <v>330</v>
      </c>
      <c r="J79" s="4">
        <v>60</v>
      </c>
      <c r="K79" s="4">
        <v>34</v>
      </c>
      <c r="L79" s="4">
        <v>0.01</v>
      </c>
      <c r="M79" s="7">
        <v>1</v>
      </c>
    </row>
    <row r="80" spans="1:13" x14ac:dyDescent="0.25">
      <c r="A80" s="2" t="s">
        <v>254</v>
      </c>
      <c r="B80" s="4">
        <v>79</v>
      </c>
      <c r="C80" s="4" t="s">
        <v>95</v>
      </c>
      <c r="D80" s="4" t="s">
        <v>267</v>
      </c>
      <c r="E80" s="4" t="s">
        <v>275</v>
      </c>
      <c r="H80" s="4" t="s">
        <v>335</v>
      </c>
      <c r="I80" s="4" t="s">
        <v>330</v>
      </c>
      <c r="J80" s="4">
        <v>24</v>
      </c>
      <c r="K80" s="4">
        <v>0.7</v>
      </c>
      <c r="L80" s="4">
        <v>0.7</v>
      </c>
      <c r="M80" s="7">
        <v>0</v>
      </c>
    </row>
    <row r="81" spans="1:13" x14ac:dyDescent="0.25">
      <c r="A81" s="2" t="s">
        <v>254</v>
      </c>
      <c r="B81" s="4">
        <v>80</v>
      </c>
      <c r="C81" s="4" t="s">
        <v>95</v>
      </c>
      <c r="D81" s="4" t="s">
        <v>267</v>
      </c>
      <c r="E81" s="4" t="s">
        <v>273</v>
      </c>
      <c r="H81" s="4" t="s">
        <v>333</v>
      </c>
      <c r="I81" s="4" t="s">
        <v>330</v>
      </c>
      <c r="J81" s="4">
        <v>30</v>
      </c>
      <c r="K81" s="4">
        <v>19.5</v>
      </c>
      <c r="L81" s="4">
        <v>0.1</v>
      </c>
      <c r="M81" s="7">
        <v>1</v>
      </c>
    </row>
    <row r="82" spans="1:13" x14ac:dyDescent="0.25">
      <c r="A82" s="2" t="s">
        <v>254</v>
      </c>
      <c r="B82" s="4">
        <v>81</v>
      </c>
      <c r="C82" s="4" t="s">
        <v>95</v>
      </c>
      <c r="D82" s="4" t="s">
        <v>267</v>
      </c>
      <c r="E82" s="4" t="s">
        <v>273</v>
      </c>
      <c r="F82" s="4" t="s">
        <v>322</v>
      </c>
      <c r="G82" s="4" t="s">
        <v>323</v>
      </c>
      <c r="H82" s="4" t="s">
        <v>334</v>
      </c>
      <c r="I82" s="4" t="s">
        <v>330</v>
      </c>
      <c r="J82" s="4">
        <v>18</v>
      </c>
      <c r="K82" s="4">
        <v>13</v>
      </c>
      <c r="L82" s="4">
        <v>0.01</v>
      </c>
      <c r="M82" s="7">
        <v>1</v>
      </c>
    </row>
    <row r="83" spans="1:13" x14ac:dyDescent="0.25">
      <c r="A83" s="2" t="s">
        <v>254</v>
      </c>
      <c r="B83" s="4">
        <v>82</v>
      </c>
      <c r="C83" s="4" t="s">
        <v>95</v>
      </c>
      <c r="D83" s="4" t="s">
        <v>267</v>
      </c>
      <c r="E83" s="4" t="s">
        <v>273</v>
      </c>
      <c r="F83" s="4" t="s">
        <v>324</v>
      </c>
      <c r="G83" s="4" t="s">
        <v>325</v>
      </c>
      <c r="H83" s="4" t="s">
        <v>335</v>
      </c>
      <c r="I83" s="4" t="s">
        <v>330</v>
      </c>
      <c r="J83" s="4">
        <v>16.5</v>
      </c>
      <c r="K83" s="4">
        <v>12</v>
      </c>
      <c r="L83" s="4">
        <v>0.01</v>
      </c>
      <c r="M83" s="7">
        <v>0</v>
      </c>
    </row>
    <row r="84" spans="1:13" x14ac:dyDescent="0.25">
      <c r="A84" s="2" t="s">
        <v>254</v>
      </c>
      <c r="B84" s="4">
        <v>83</v>
      </c>
      <c r="C84" s="4" t="s">
        <v>95</v>
      </c>
      <c r="D84" s="4" t="s">
        <v>267</v>
      </c>
      <c r="E84" s="4" t="s">
        <v>273</v>
      </c>
      <c r="F84" s="4" t="s">
        <v>326</v>
      </c>
      <c r="H84" s="4" t="s">
        <v>338</v>
      </c>
      <c r="I84" s="4" t="s">
        <v>330</v>
      </c>
      <c r="J84" s="4">
        <v>17</v>
      </c>
      <c r="K84" s="4">
        <v>10.5</v>
      </c>
      <c r="L84" s="4">
        <v>0.01</v>
      </c>
      <c r="M84" s="7">
        <v>1</v>
      </c>
    </row>
    <row r="85" spans="1:13" x14ac:dyDescent="0.25">
      <c r="A85" s="2" t="s">
        <v>254</v>
      </c>
      <c r="B85" s="4">
        <v>84</v>
      </c>
      <c r="C85" s="4" t="s">
        <v>95</v>
      </c>
      <c r="D85" s="4" t="s">
        <v>267</v>
      </c>
      <c r="E85" s="4" t="s">
        <v>273</v>
      </c>
      <c r="F85" s="4" t="s">
        <v>244</v>
      </c>
      <c r="H85" s="4" t="s">
        <v>337</v>
      </c>
      <c r="I85" s="4" t="s">
        <v>330</v>
      </c>
      <c r="J85" s="4">
        <v>8.5</v>
      </c>
      <c r="K85" s="4">
        <v>7</v>
      </c>
      <c r="L85" s="4">
        <v>0.01</v>
      </c>
      <c r="M85" s="7">
        <v>1</v>
      </c>
    </row>
    <row r="86" spans="1:13" x14ac:dyDescent="0.25">
      <c r="A86" s="2" t="s">
        <v>254</v>
      </c>
      <c r="B86" s="4">
        <v>85</v>
      </c>
      <c r="C86" s="4" t="s">
        <v>95</v>
      </c>
      <c r="D86" s="4" t="s">
        <v>270</v>
      </c>
      <c r="E86" s="4" t="s">
        <v>270</v>
      </c>
      <c r="H86" s="4" t="s">
        <v>333</v>
      </c>
      <c r="I86" s="4" t="s">
        <v>332</v>
      </c>
      <c r="J86" s="4">
        <v>4.5</v>
      </c>
      <c r="K86" s="4">
        <v>3.5</v>
      </c>
      <c r="L86" s="4">
        <v>1</v>
      </c>
      <c r="M86" s="7">
        <v>0</v>
      </c>
    </row>
    <row r="87" spans="1:13" x14ac:dyDescent="0.25">
      <c r="A87" s="2" t="s">
        <v>254</v>
      </c>
      <c r="B87" s="4">
        <v>86</v>
      </c>
      <c r="C87" s="4" t="s">
        <v>95</v>
      </c>
      <c r="D87" s="4" t="s">
        <v>270</v>
      </c>
      <c r="E87" s="4" t="s">
        <v>270</v>
      </c>
      <c r="H87" s="4" t="s">
        <v>333</v>
      </c>
      <c r="I87" s="4" t="s">
        <v>332</v>
      </c>
      <c r="J87" s="4">
        <v>4</v>
      </c>
      <c r="K87" s="4">
        <v>3</v>
      </c>
      <c r="L87" s="4">
        <v>0.7</v>
      </c>
      <c r="M87" s="7">
        <v>0</v>
      </c>
    </row>
    <row r="88" spans="1:13" x14ac:dyDescent="0.25">
      <c r="A88" s="2" t="s">
        <v>254</v>
      </c>
      <c r="B88" s="4">
        <v>87</v>
      </c>
      <c r="C88" s="4" t="s">
        <v>95</v>
      </c>
      <c r="D88" s="4" t="s">
        <v>270</v>
      </c>
      <c r="E88" s="4" t="s">
        <v>270</v>
      </c>
      <c r="H88" s="4" t="s">
        <v>335</v>
      </c>
      <c r="I88" s="4" t="s">
        <v>332</v>
      </c>
      <c r="J88" s="4">
        <v>6.5</v>
      </c>
      <c r="K88" s="4">
        <v>4.5</v>
      </c>
      <c r="L88" s="4">
        <v>0.5</v>
      </c>
      <c r="M88" s="7">
        <v>0</v>
      </c>
    </row>
    <row r="89" spans="1:13" x14ac:dyDescent="0.25">
      <c r="A89" s="2" t="s">
        <v>254</v>
      </c>
      <c r="B89" s="4">
        <v>88</v>
      </c>
      <c r="C89" s="4" t="s">
        <v>95</v>
      </c>
      <c r="D89" s="4" t="s">
        <v>270</v>
      </c>
      <c r="E89" s="4" t="s">
        <v>270</v>
      </c>
      <c r="H89" s="4" t="s">
        <v>335</v>
      </c>
      <c r="I89" s="4" t="s">
        <v>332</v>
      </c>
      <c r="J89" s="4">
        <v>3</v>
      </c>
      <c r="K89" s="4">
        <v>2.2999999999999998</v>
      </c>
      <c r="L89" s="4">
        <v>0.5</v>
      </c>
      <c r="M89" s="7">
        <v>0</v>
      </c>
    </row>
    <row r="90" spans="1:13" x14ac:dyDescent="0.25">
      <c r="A90" s="2" t="s">
        <v>255</v>
      </c>
      <c r="B90" s="4">
        <v>89</v>
      </c>
      <c r="C90" s="4" t="s">
        <v>97</v>
      </c>
      <c r="D90" s="4" t="s">
        <v>271</v>
      </c>
      <c r="E90" s="4" t="s">
        <v>284</v>
      </c>
      <c r="F90" s="4" t="s">
        <v>327</v>
      </c>
      <c r="G90" s="4" t="s">
        <v>245</v>
      </c>
      <c r="H90" s="4" t="s">
        <v>334</v>
      </c>
      <c r="I90" s="4" t="s">
        <v>332</v>
      </c>
      <c r="J90" s="4">
        <v>22</v>
      </c>
      <c r="K90" s="4">
        <v>5.5</v>
      </c>
      <c r="L90" s="4">
        <v>5.5</v>
      </c>
      <c r="M90" s="7">
        <v>0</v>
      </c>
    </row>
    <row r="91" spans="1:13" x14ac:dyDescent="0.25">
      <c r="A91" s="2" t="s">
        <v>255</v>
      </c>
      <c r="B91" s="4">
        <v>90</v>
      </c>
      <c r="C91" s="4" t="s">
        <v>97</v>
      </c>
      <c r="D91" s="4" t="s">
        <v>267</v>
      </c>
      <c r="E91" s="4" t="s">
        <v>279</v>
      </c>
      <c r="G91" s="4" t="s">
        <v>328</v>
      </c>
      <c r="H91" s="4" t="s">
        <v>336</v>
      </c>
      <c r="I91" s="4" t="s">
        <v>330</v>
      </c>
      <c r="J91" s="4">
        <v>29</v>
      </c>
      <c r="K91" s="4">
        <v>21</v>
      </c>
      <c r="L91" s="4">
        <v>0.5</v>
      </c>
      <c r="M91" s="7">
        <v>0</v>
      </c>
    </row>
    <row r="92" spans="1:13" x14ac:dyDescent="0.25">
      <c r="A92" s="2" t="s">
        <v>255</v>
      </c>
      <c r="B92" s="4">
        <v>91</v>
      </c>
      <c r="C92" s="4" t="s">
        <v>97</v>
      </c>
      <c r="D92" s="4" t="s">
        <v>267</v>
      </c>
      <c r="E92" s="4" t="s">
        <v>273</v>
      </c>
      <c r="F92" s="4" t="s">
        <v>329</v>
      </c>
      <c r="G92" s="4" t="s">
        <v>246</v>
      </c>
      <c r="H92" s="4" t="s">
        <v>337</v>
      </c>
      <c r="I92" s="4" t="s">
        <v>330</v>
      </c>
      <c r="J92" s="4">
        <v>24.5</v>
      </c>
      <c r="K92" s="4">
        <v>16.5</v>
      </c>
      <c r="L92" s="4">
        <v>0.01</v>
      </c>
      <c r="M92" s="7">
        <v>0</v>
      </c>
    </row>
    <row r="93" spans="1:13" x14ac:dyDescent="0.25">
      <c r="A93" s="2" t="s">
        <v>255</v>
      </c>
      <c r="B93" s="4">
        <v>92</v>
      </c>
      <c r="C93" s="4" t="s">
        <v>97</v>
      </c>
      <c r="D93" s="4" t="s">
        <v>267</v>
      </c>
      <c r="E93" s="4" t="s">
        <v>273</v>
      </c>
      <c r="F93" s="4" t="s">
        <v>291</v>
      </c>
      <c r="G93" s="4" t="s">
        <v>247</v>
      </c>
      <c r="H93" s="4" t="s">
        <v>336</v>
      </c>
      <c r="I93" s="4" t="s">
        <v>330</v>
      </c>
      <c r="J93" s="4">
        <v>26</v>
      </c>
      <c r="K93" s="4">
        <v>17</v>
      </c>
      <c r="L93" s="4">
        <v>0.01</v>
      </c>
      <c r="M93" s="7">
        <v>0</v>
      </c>
    </row>
    <row r="94" spans="1:13" x14ac:dyDescent="0.25">
      <c r="A94" s="2" t="s">
        <v>255</v>
      </c>
      <c r="B94" s="4">
        <v>93</v>
      </c>
      <c r="C94" s="4" t="s">
        <v>97</v>
      </c>
      <c r="D94" s="4" t="s">
        <v>267</v>
      </c>
      <c r="E94" s="4" t="s">
        <v>236</v>
      </c>
      <c r="H94" s="4" t="s">
        <v>237</v>
      </c>
      <c r="I94" s="4" t="s">
        <v>330</v>
      </c>
      <c r="J94" s="4">
        <v>12</v>
      </c>
      <c r="K94" s="4">
        <v>9</v>
      </c>
      <c r="L94" s="4">
        <v>1</v>
      </c>
      <c r="M94" s="7">
        <v>1</v>
      </c>
    </row>
    <row r="95" spans="1:13" x14ac:dyDescent="0.25">
      <c r="A95" s="2" t="s">
        <v>255</v>
      </c>
      <c r="B95" s="4">
        <v>94</v>
      </c>
      <c r="C95" s="4" t="s">
        <v>97</v>
      </c>
      <c r="D95" s="4" t="s">
        <v>267</v>
      </c>
      <c r="E95" s="4" t="s">
        <v>236</v>
      </c>
      <c r="H95" s="4" t="s">
        <v>237</v>
      </c>
      <c r="I95" s="4" t="s">
        <v>330</v>
      </c>
      <c r="J95" s="4">
        <v>10.5</v>
      </c>
      <c r="K95" s="4">
        <v>6.5</v>
      </c>
      <c r="L95" s="4">
        <v>0.3</v>
      </c>
      <c r="M95" s="7">
        <v>1</v>
      </c>
    </row>
    <row r="96" spans="1:13" x14ac:dyDescent="0.25">
      <c r="A96" s="2" t="s">
        <v>255</v>
      </c>
      <c r="B96" s="4">
        <v>95</v>
      </c>
      <c r="C96" s="4" t="s">
        <v>97</v>
      </c>
      <c r="D96" s="4" t="s">
        <v>267</v>
      </c>
      <c r="E96" s="4" t="s">
        <v>273</v>
      </c>
      <c r="F96" s="4" t="s">
        <v>304</v>
      </c>
      <c r="G96" s="4" t="s">
        <v>248</v>
      </c>
      <c r="H96" s="4" t="s">
        <v>342</v>
      </c>
      <c r="I96" s="4" t="s">
        <v>330</v>
      </c>
      <c r="J96" s="4">
        <v>11</v>
      </c>
      <c r="K96" s="4">
        <v>18</v>
      </c>
      <c r="L96" s="4">
        <v>0.3</v>
      </c>
      <c r="M96" s="7">
        <v>0</v>
      </c>
    </row>
    <row r="97" spans="1:13" x14ac:dyDescent="0.25">
      <c r="A97" s="2" t="s">
        <v>255</v>
      </c>
      <c r="B97" s="4">
        <v>96</v>
      </c>
      <c r="C97" s="4" t="s">
        <v>97</v>
      </c>
      <c r="D97" s="4" t="s">
        <v>267</v>
      </c>
      <c r="E97" s="4" t="s">
        <v>273</v>
      </c>
      <c r="H97" s="4" t="s">
        <v>338</v>
      </c>
      <c r="I97" s="4" t="s">
        <v>330</v>
      </c>
      <c r="J97" s="4">
        <v>37</v>
      </c>
      <c r="K97" s="4">
        <v>30</v>
      </c>
      <c r="L97" s="4">
        <v>0.3</v>
      </c>
      <c r="M97" s="7">
        <v>1</v>
      </c>
    </row>
    <row r="98" spans="1:13" x14ac:dyDescent="0.25">
      <c r="A98" s="2" t="s">
        <v>255</v>
      </c>
      <c r="B98" s="4">
        <v>97</v>
      </c>
      <c r="C98" s="4" t="s">
        <v>97</v>
      </c>
      <c r="D98" s="4" t="s">
        <v>267</v>
      </c>
      <c r="E98" s="4" t="s">
        <v>282</v>
      </c>
      <c r="H98" s="4" t="s">
        <v>337</v>
      </c>
      <c r="I98" s="4" t="s">
        <v>332</v>
      </c>
      <c r="J98" s="4">
        <v>7.5</v>
      </c>
      <c r="K98" s="4">
        <v>4</v>
      </c>
      <c r="L98" s="4">
        <v>4</v>
      </c>
      <c r="M98" s="7">
        <v>1</v>
      </c>
    </row>
    <row r="99" spans="1:13" x14ac:dyDescent="0.25">
      <c r="A99" s="2" t="s">
        <v>255</v>
      </c>
      <c r="B99" s="4">
        <v>98</v>
      </c>
      <c r="C99" s="4" t="s">
        <v>97</v>
      </c>
      <c r="D99" s="4" t="s">
        <v>267</v>
      </c>
      <c r="E99" s="4" t="s">
        <v>236</v>
      </c>
      <c r="H99" s="4" t="s">
        <v>339</v>
      </c>
      <c r="I99" s="4" t="s">
        <v>330</v>
      </c>
      <c r="J99" s="4">
        <v>12</v>
      </c>
      <c r="K99" s="4">
        <v>9</v>
      </c>
      <c r="L99" s="4">
        <v>1.5</v>
      </c>
      <c r="M99" s="7">
        <v>1</v>
      </c>
    </row>
    <row r="100" spans="1:13" x14ac:dyDescent="0.25">
      <c r="A100" s="2" t="s">
        <v>255</v>
      </c>
      <c r="B100" s="4">
        <v>99</v>
      </c>
      <c r="C100" s="4" t="s">
        <v>97</v>
      </c>
      <c r="D100" s="4" t="s">
        <v>267</v>
      </c>
      <c r="E100" s="4" t="s">
        <v>273</v>
      </c>
      <c r="F100" s="4" t="s">
        <v>304</v>
      </c>
      <c r="G100" s="4" t="s">
        <v>248</v>
      </c>
      <c r="H100" s="4" t="s">
        <v>335</v>
      </c>
      <c r="I100" s="4" t="s">
        <v>330</v>
      </c>
      <c r="J100" s="5">
        <v>20.5</v>
      </c>
      <c r="K100" s="4">
        <v>12</v>
      </c>
      <c r="L100" s="4">
        <v>1.5</v>
      </c>
      <c r="M100" s="7">
        <v>1</v>
      </c>
    </row>
    <row r="101" spans="1:13" x14ac:dyDescent="0.25">
      <c r="A101" s="2" t="s">
        <v>255</v>
      </c>
      <c r="B101" s="4">
        <v>100</v>
      </c>
      <c r="C101" s="4" t="s">
        <v>97</v>
      </c>
      <c r="D101" s="4" t="s">
        <v>267</v>
      </c>
      <c r="E101" s="4" t="s">
        <v>278</v>
      </c>
      <c r="H101" s="4" t="s">
        <v>337</v>
      </c>
      <c r="I101" s="4" t="s">
        <v>330</v>
      </c>
      <c r="J101" s="4">
        <v>11</v>
      </c>
      <c r="K101" s="4">
        <v>6</v>
      </c>
      <c r="L101" s="4">
        <v>0.01</v>
      </c>
      <c r="M101" s="7">
        <v>1</v>
      </c>
    </row>
    <row r="102" spans="1:13" x14ac:dyDescent="0.25">
      <c r="A102" s="2" t="s">
        <v>255</v>
      </c>
      <c r="B102" s="4">
        <v>101</v>
      </c>
      <c r="C102" s="4" t="s">
        <v>97</v>
      </c>
      <c r="D102" s="4" t="s">
        <v>267</v>
      </c>
      <c r="E102" s="4" t="s">
        <v>278</v>
      </c>
      <c r="F102" s="4" t="s">
        <v>282</v>
      </c>
      <c r="H102" s="4" t="s">
        <v>335</v>
      </c>
      <c r="I102" s="4" t="s">
        <v>330</v>
      </c>
      <c r="J102" s="4">
        <v>9.5</v>
      </c>
      <c r="K102" s="4">
        <v>3</v>
      </c>
      <c r="L102" s="4">
        <v>0.01</v>
      </c>
      <c r="M102" s="7">
        <v>0</v>
      </c>
    </row>
    <row r="103" spans="1:13" x14ac:dyDescent="0.25">
      <c r="A103" s="2" t="s">
        <v>255</v>
      </c>
      <c r="B103" s="4">
        <v>102</v>
      </c>
      <c r="C103" s="4" t="s">
        <v>97</v>
      </c>
      <c r="D103" s="4" t="s">
        <v>270</v>
      </c>
      <c r="E103" s="4" t="s">
        <v>270</v>
      </c>
      <c r="H103" s="4" t="s">
        <v>333</v>
      </c>
      <c r="I103" s="4" t="s">
        <v>332</v>
      </c>
      <c r="J103" s="4">
        <v>4</v>
      </c>
      <c r="K103" s="4">
        <v>3.5</v>
      </c>
      <c r="L103" s="4">
        <v>0.5</v>
      </c>
      <c r="M103" s="7">
        <v>1</v>
      </c>
    </row>
    <row r="104" spans="1:13" x14ac:dyDescent="0.25">
      <c r="A104" s="2" t="s">
        <v>255</v>
      </c>
      <c r="B104" s="4">
        <v>103</v>
      </c>
      <c r="C104" s="4" t="s">
        <v>97</v>
      </c>
      <c r="D104" s="4" t="s">
        <v>267</v>
      </c>
      <c r="E104" s="4" t="s">
        <v>278</v>
      </c>
      <c r="H104" s="4" t="s">
        <v>343</v>
      </c>
      <c r="I104" s="4" t="s">
        <v>332</v>
      </c>
      <c r="J104" s="4">
        <v>5.5</v>
      </c>
      <c r="K104" s="4">
        <v>1</v>
      </c>
      <c r="L104" s="4">
        <v>1</v>
      </c>
      <c r="M104" s="7">
        <v>0</v>
      </c>
    </row>
    <row r="105" spans="1:13" x14ac:dyDescent="0.25">
      <c r="A105" s="2" t="s">
        <v>255</v>
      </c>
      <c r="B105" s="4">
        <v>104</v>
      </c>
      <c r="C105" s="4" t="s">
        <v>97</v>
      </c>
      <c r="D105" s="4" t="s">
        <v>270</v>
      </c>
      <c r="E105" s="4" t="s">
        <v>280</v>
      </c>
      <c r="H105" s="4" t="s">
        <v>344</v>
      </c>
      <c r="I105" s="4" t="s">
        <v>332</v>
      </c>
      <c r="J105" s="4">
        <v>14</v>
      </c>
      <c r="K105" s="4">
        <v>4.5</v>
      </c>
      <c r="L105" s="4">
        <v>0.3</v>
      </c>
      <c r="M105" s="7">
        <v>1</v>
      </c>
    </row>
    <row r="106" spans="1:13" x14ac:dyDescent="0.25">
      <c r="A106" s="2" t="s">
        <v>255</v>
      </c>
      <c r="B106" s="4">
        <v>105</v>
      </c>
      <c r="C106" s="4" t="s">
        <v>97</v>
      </c>
      <c r="D106" s="4" t="s">
        <v>267</v>
      </c>
      <c r="E106" s="4" t="s">
        <v>278</v>
      </c>
      <c r="F106" s="4" t="s">
        <v>249</v>
      </c>
      <c r="H106" s="4" t="s">
        <v>335</v>
      </c>
      <c r="I106" s="4" t="s">
        <v>330</v>
      </c>
      <c r="J106" s="4">
        <v>16.5</v>
      </c>
      <c r="K106" s="4">
        <v>0.1</v>
      </c>
      <c r="L106" s="4">
        <v>0.1</v>
      </c>
      <c r="M106" s="7">
        <v>0</v>
      </c>
    </row>
    <row r="107" spans="1:13" x14ac:dyDescent="0.25">
      <c r="A107" s="2" t="s">
        <v>255</v>
      </c>
      <c r="B107" s="4">
        <v>106</v>
      </c>
      <c r="C107" s="4" t="s">
        <v>97</v>
      </c>
      <c r="D107" s="4" t="s">
        <v>267</v>
      </c>
      <c r="E107" s="4" t="s">
        <v>283</v>
      </c>
      <c r="H107" s="4" t="s">
        <v>335</v>
      </c>
      <c r="I107" s="4" t="s">
        <v>330</v>
      </c>
      <c r="J107" s="4">
        <v>21</v>
      </c>
      <c r="K107" s="4">
        <v>15</v>
      </c>
      <c r="L107" s="4">
        <v>6</v>
      </c>
      <c r="M107" s="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"/>
  <sheetViews>
    <sheetView tabSelected="1" topLeftCell="A45" workbookViewId="0">
      <selection activeCell="C89" sqref="C89"/>
    </sheetView>
  </sheetViews>
  <sheetFormatPr defaultRowHeight="15" x14ac:dyDescent="0.25"/>
  <cols>
    <col min="1" max="1" width="11.28515625" bestFit="1" customWidth="1"/>
    <col min="2" max="2" width="61" bestFit="1" customWidth="1"/>
    <col min="3" max="3" width="27.28515625" customWidth="1"/>
  </cols>
  <sheetData>
    <row r="1" spans="1:3" x14ac:dyDescent="0.25">
      <c r="A1" t="s">
        <v>135</v>
      </c>
      <c r="B1" t="s">
        <v>136</v>
      </c>
      <c r="C1" t="s">
        <v>345</v>
      </c>
    </row>
    <row r="2" spans="1:3" x14ac:dyDescent="0.25">
      <c r="A2" t="s">
        <v>4</v>
      </c>
      <c r="B2" s="9" t="s">
        <v>137</v>
      </c>
      <c r="C2" s="9" t="s">
        <v>346</v>
      </c>
    </row>
    <row r="3" spans="1:3" x14ac:dyDescent="0.25">
      <c r="A3" t="s">
        <v>5</v>
      </c>
      <c r="B3" s="9" t="s">
        <v>138</v>
      </c>
      <c r="C3" s="9" t="s">
        <v>347</v>
      </c>
    </row>
    <row r="4" spans="1:3" x14ac:dyDescent="0.25">
      <c r="A4" t="s">
        <v>6</v>
      </c>
      <c r="B4" s="9" t="s">
        <v>139</v>
      </c>
      <c r="C4" s="9" t="s">
        <v>347</v>
      </c>
    </row>
    <row r="5" spans="1:3" x14ac:dyDescent="0.25">
      <c r="A5" t="s">
        <v>7</v>
      </c>
      <c r="B5" s="9" t="s">
        <v>140</v>
      </c>
      <c r="C5" s="9" t="s">
        <v>347</v>
      </c>
    </row>
    <row r="6" spans="1:3" x14ac:dyDescent="0.25">
      <c r="A6" t="s">
        <v>8</v>
      </c>
      <c r="B6" s="9" t="s">
        <v>141</v>
      </c>
      <c r="C6" s="9" t="s">
        <v>347</v>
      </c>
    </row>
    <row r="7" spans="1:3" x14ac:dyDescent="0.25">
      <c r="A7" t="s">
        <v>9</v>
      </c>
      <c r="B7" s="9" t="s">
        <v>142</v>
      </c>
      <c r="C7" s="9" t="s">
        <v>347</v>
      </c>
    </row>
    <row r="8" spans="1:3" x14ac:dyDescent="0.25">
      <c r="A8" t="s">
        <v>10</v>
      </c>
      <c r="B8" s="9" t="s">
        <v>143</v>
      </c>
      <c r="C8" s="9" t="s">
        <v>348</v>
      </c>
    </row>
    <row r="9" spans="1:3" x14ac:dyDescent="0.25">
      <c r="A9" t="s">
        <v>11</v>
      </c>
      <c r="B9" s="9" t="s">
        <v>144</v>
      </c>
      <c r="C9" s="9" t="s">
        <v>349</v>
      </c>
    </row>
    <row r="10" spans="1:3" x14ac:dyDescent="0.25">
      <c r="A10" t="s">
        <v>12</v>
      </c>
      <c r="B10" s="9" t="s">
        <v>145</v>
      </c>
      <c r="C10" s="9" t="s">
        <v>350</v>
      </c>
    </row>
    <row r="11" spans="1:3" x14ac:dyDescent="0.25">
      <c r="A11" t="s">
        <v>13</v>
      </c>
      <c r="B11" s="9" t="s">
        <v>146</v>
      </c>
      <c r="C11" s="9" t="s">
        <v>348</v>
      </c>
    </row>
    <row r="12" spans="1:3" x14ac:dyDescent="0.25">
      <c r="A12" t="s">
        <v>14</v>
      </c>
      <c r="B12" s="9" t="s">
        <v>154</v>
      </c>
      <c r="C12" s="9" t="s">
        <v>348</v>
      </c>
    </row>
    <row r="13" spans="1:3" x14ac:dyDescent="0.25">
      <c r="A13" t="s">
        <v>15</v>
      </c>
      <c r="B13" s="9" t="s">
        <v>147</v>
      </c>
      <c r="C13" s="9" t="s">
        <v>347</v>
      </c>
    </row>
    <row r="14" spans="1:3" x14ac:dyDescent="0.25">
      <c r="A14" t="s">
        <v>16</v>
      </c>
      <c r="B14" s="9" t="s">
        <v>148</v>
      </c>
      <c r="C14" s="9" t="s">
        <v>349</v>
      </c>
    </row>
    <row r="15" spans="1:3" x14ac:dyDescent="0.25">
      <c r="A15" t="s">
        <v>17</v>
      </c>
      <c r="B15" s="9" t="s">
        <v>149</v>
      </c>
      <c r="C15" s="9" t="s">
        <v>349</v>
      </c>
    </row>
    <row r="16" spans="1:3" x14ac:dyDescent="0.25">
      <c r="A16" t="s">
        <v>18</v>
      </c>
      <c r="B16" s="9" t="s">
        <v>150</v>
      </c>
      <c r="C16" s="9" t="s">
        <v>351</v>
      </c>
    </row>
    <row r="17" spans="1:3" x14ac:dyDescent="0.25">
      <c r="A17" t="s">
        <v>19</v>
      </c>
      <c r="B17" s="9" t="s">
        <v>151</v>
      </c>
      <c r="C17" s="9" t="s">
        <v>351</v>
      </c>
    </row>
    <row r="18" spans="1:3" x14ac:dyDescent="0.25">
      <c r="A18" t="s">
        <v>20</v>
      </c>
      <c r="B18" s="9" t="s">
        <v>152</v>
      </c>
      <c r="C18" s="9" t="s">
        <v>350</v>
      </c>
    </row>
    <row r="19" spans="1:3" x14ac:dyDescent="0.25">
      <c r="A19" t="s">
        <v>21</v>
      </c>
      <c r="B19" s="9" t="s">
        <v>153</v>
      </c>
      <c r="C19" s="9" t="s">
        <v>347</v>
      </c>
    </row>
    <row r="20" spans="1:3" x14ac:dyDescent="0.25">
      <c r="A20" t="s">
        <v>22</v>
      </c>
      <c r="B20" s="9" t="s">
        <v>154</v>
      </c>
      <c r="C20" s="9" t="s">
        <v>348</v>
      </c>
    </row>
    <row r="21" spans="1:3" x14ac:dyDescent="0.25">
      <c r="A21" t="s">
        <v>23</v>
      </c>
      <c r="B21" s="9" t="s">
        <v>155</v>
      </c>
      <c r="C21" s="9" t="s">
        <v>349</v>
      </c>
    </row>
    <row r="22" spans="1:3" x14ac:dyDescent="0.25">
      <c r="A22" t="s">
        <v>24</v>
      </c>
      <c r="B22" s="9" t="s">
        <v>156</v>
      </c>
      <c r="C22" s="9" t="s">
        <v>346</v>
      </c>
    </row>
    <row r="23" spans="1:3" x14ac:dyDescent="0.25">
      <c r="A23" t="s">
        <v>25</v>
      </c>
      <c r="B23" s="9" t="s">
        <v>157</v>
      </c>
      <c r="C23" s="9" t="s">
        <v>346</v>
      </c>
    </row>
    <row r="24" spans="1:3" x14ac:dyDescent="0.25">
      <c r="A24" t="s">
        <v>26</v>
      </c>
      <c r="B24" s="9" t="s">
        <v>158</v>
      </c>
      <c r="C24" s="9" t="s">
        <v>347</v>
      </c>
    </row>
    <row r="25" spans="1:3" x14ac:dyDescent="0.25">
      <c r="A25" t="s">
        <v>27</v>
      </c>
      <c r="B25" s="9" t="s">
        <v>159</v>
      </c>
      <c r="C25" s="9" t="s">
        <v>351</v>
      </c>
    </row>
    <row r="26" spans="1:3" x14ac:dyDescent="0.25">
      <c r="A26" t="s">
        <v>28</v>
      </c>
      <c r="B26" s="9" t="s">
        <v>160</v>
      </c>
      <c r="C26" s="9" t="s">
        <v>349</v>
      </c>
    </row>
    <row r="27" spans="1:3" x14ac:dyDescent="0.25">
      <c r="A27" t="s">
        <v>29</v>
      </c>
      <c r="B27" s="9" t="s">
        <v>161</v>
      </c>
      <c r="C27" s="9" t="s">
        <v>350</v>
      </c>
    </row>
    <row r="28" spans="1:3" x14ac:dyDescent="0.25">
      <c r="A28" t="s">
        <v>30</v>
      </c>
      <c r="B28" s="9" t="s">
        <v>162</v>
      </c>
      <c r="C28" s="9" t="s">
        <v>348</v>
      </c>
    </row>
    <row r="29" spans="1:3" x14ac:dyDescent="0.25">
      <c r="A29" t="s">
        <v>31</v>
      </c>
      <c r="B29" s="9" t="s">
        <v>163</v>
      </c>
      <c r="C29" s="9" t="s">
        <v>347</v>
      </c>
    </row>
    <row r="30" spans="1:3" x14ac:dyDescent="0.25">
      <c r="A30" t="s">
        <v>32</v>
      </c>
      <c r="B30" s="9" t="s">
        <v>164</v>
      </c>
      <c r="C30" s="9" t="s">
        <v>348</v>
      </c>
    </row>
    <row r="31" spans="1:3" x14ac:dyDescent="0.25">
      <c r="A31" t="s">
        <v>33</v>
      </c>
      <c r="B31" s="9" t="s">
        <v>165</v>
      </c>
      <c r="C31" s="9" t="s">
        <v>351</v>
      </c>
    </row>
    <row r="32" spans="1:3" x14ac:dyDescent="0.25">
      <c r="A32" t="s">
        <v>34</v>
      </c>
      <c r="B32" s="9" t="s">
        <v>166</v>
      </c>
      <c r="C32" s="9" t="s">
        <v>352</v>
      </c>
    </row>
    <row r="33" spans="1:3" x14ac:dyDescent="0.25">
      <c r="A33" t="s">
        <v>35</v>
      </c>
      <c r="B33" s="9" t="s">
        <v>167</v>
      </c>
      <c r="C33" s="9" t="s">
        <v>351</v>
      </c>
    </row>
    <row r="34" spans="1:3" x14ac:dyDescent="0.25">
      <c r="A34" t="s">
        <v>36</v>
      </c>
      <c r="B34" s="9" t="s">
        <v>168</v>
      </c>
      <c r="C34" s="9" t="s">
        <v>351</v>
      </c>
    </row>
    <row r="35" spans="1:3" x14ac:dyDescent="0.25">
      <c r="A35" t="s">
        <v>37</v>
      </c>
      <c r="B35" s="9" t="s">
        <v>154</v>
      </c>
      <c r="C35" s="9" t="s">
        <v>348</v>
      </c>
    </row>
    <row r="36" spans="1:3" x14ac:dyDescent="0.25">
      <c r="A36" t="s">
        <v>38</v>
      </c>
      <c r="B36" s="9" t="s">
        <v>169</v>
      </c>
      <c r="C36" s="9" t="s">
        <v>348</v>
      </c>
    </row>
    <row r="37" spans="1:3" x14ac:dyDescent="0.25">
      <c r="A37" t="s">
        <v>39</v>
      </c>
      <c r="B37" s="9" t="s">
        <v>170</v>
      </c>
      <c r="C37" s="9" t="s">
        <v>348</v>
      </c>
    </row>
    <row r="38" spans="1:3" x14ac:dyDescent="0.25">
      <c r="A38" t="s">
        <v>40</v>
      </c>
      <c r="B38" s="9" t="s">
        <v>171</v>
      </c>
      <c r="C38" s="9" t="s">
        <v>351</v>
      </c>
    </row>
    <row r="39" spans="1:3" x14ac:dyDescent="0.25">
      <c r="A39" t="s">
        <v>41</v>
      </c>
      <c r="B39" s="9" t="s">
        <v>172</v>
      </c>
      <c r="C39" s="9" t="s">
        <v>347</v>
      </c>
    </row>
    <row r="40" spans="1:3" x14ac:dyDescent="0.25">
      <c r="A40" t="s">
        <v>42</v>
      </c>
      <c r="B40" s="9" t="s">
        <v>173</v>
      </c>
      <c r="C40" s="9" t="s">
        <v>347</v>
      </c>
    </row>
    <row r="41" spans="1:3" x14ac:dyDescent="0.25">
      <c r="A41" t="s">
        <v>43</v>
      </c>
      <c r="B41" s="9" t="s">
        <v>174</v>
      </c>
      <c r="C41" s="9" t="s">
        <v>349</v>
      </c>
    </row>
    <row r="42" spans="1:3" x14ac:dyDescent="0.25">
      <c r="A42" t="s">
        <v>44</v>
      </c>
      <c r="B42" s="9" t="s">
        <v>175</v>
      </c>
      <c r="C42" s="9" t="s">
        <v>346</v>
      </c>
    </row>
    <row r="43" spans="1:3" x14ac:dyDescent="0.25">
      <c r="A43" t="s">
        <v>45</v>
      </c>
      <c r="B43" s="9" t="s">
        <v>154</v>
      </c>
      <c r="C43" s="9" t="s">
        <v>348</v>
      </c>
    </row>
    <row r="44" spans="1:3" x14ac:dyDescent="0.25">
      <c r="A44" t="s">
        <v>46</v>
      </c>
      <c r="B44" s="9" t="s">
        <v>176</v>
      </c>
      <c r="C44" s="9" t="s">
        <v>349</v>
      </c>
    </row>
    <row r="45" spans="1:3" x14ac:dyDescent="0.25">
      <c r="A45" t="s">
        <v>47</v>
      </c>
      <c r="B45" s="9" t="s">
        <v>177</v>
      </c>
      <c r="C45" s="9" t="s">
        <v>349</v>
      </c>
    </row>
    <row r="46" spans="1:3" x14ac:dyDescent="0.25">
      <c r="A46" t="s">
        <v>133</v>
      </c>
      <c r="B46" s="9" t="s">
        <v>178</v>
      </c>
      <c r="C46" s="9" t="s">
        <v>349</v>
      </c>
    </row>
    <row r="47" spans="1:3" x14ac:dyDescent="0.25">
      <c r="A47" t="s">
        <v>48</v>
      </c>
      <c r="B47" s="9" t="s">
        <v>179</v>
      </c>
      <c r="C47" s="9" t="s">
        <v>349</v>
      </c>
    </row>
    <row r="48" spans="1:3" x14ac:dyDescent="0.25">
      <c r="A48" t="s">
        <v>49</v>
      </c>
      <c r="B48" s="9" t="s">
        <v>353</v>
      </c>
      <c r="C48" s="9" t="s">
        <v>349</v>
      </c>
    </row>
    <row r="49" spans="1:3" x14ac:dyDescent="0.25">
      <c r="A49" t="s">
        <v>50</v>
      </c>
      <c r="B49" s="9" t="s">
        <v>180</v>
      </c>
      <c r="C49" s="9" t="s">
        <v>349</v>
      </c>
    </row>
    <row r="50" spans="1:3" x14ac:dyDescent="0.25">
      <c r="A50" t="s">
        <v>51</v>
      </c>
      <c r="B50" s="9" t="s">
        <v>181</v>
      </c>
      <c r="C50" s="9" t="s">
        <v>349</v>
      </c>
    </row>
    <row r="51" spans="1:3" x14ac:dyDescent="0.25">
      <c r="A51" t="s">
        <v>52</v>
      </c>
      <c r="B51" s="9" t="s">
        <v>182</v>
      </c>
      <c r="C51" s="9" t="s">
        <v>349</v>
      </c>
    </row>
    <row r="52" spans="1:3" x14ac:dyDescent="0.25">
      <c r="A52" t="s">
        <v>53</v>
      </c>
      <c r="B52" s="9" t="s">
        <v>183</v>
      </c>
      <c r="C52" s="9" t="s">
        <v>346</v>
      </c>
    </row>
    <row r="53" spans="1:3" x14ac:dyDescent="0.25">
      <c r="A53" t="s">
        <v>54</v>
      </c>
      <c r="B53" s="9" t="s">
        <v>184</v>
      </c>
      <c r="C53" s="9" t="s">
        <v>347</v>
      </c>
    </row>
    <row r="54" spans="1:3" x14ac:dyDescent="0.25">
      <c r="A54" t="s">
        <v>55</v>
      </c>
      <c r="B54" s="9" t="s">
        <v>185</v>
      </c>
      <c r="C54" s="9" t="s">
        <v>346</v>
      </c>
    </row>
    <row r="55" spans="1:3" x14ac:dyDescent="0.25">
      <c r="A55" t="s">
        <v>56</v>
      </c>
      <c r="B55" s="9" t="s">
        <v>186</v>
      </c>
      <c r="C55" s="9" t="s">
        <v>346</v>
      </c>
    </row>
    <row r="56" spans="1:3" x14ac:dyDescent="0.25">
      <c r="A56" t="s">
        <v>57</v>
      </c>
      <c r="B56" s="9" t="s">
        <v>187</v>
      </c>
      <c r="C56" s="9" t="s">
        <v>351</v>
      </c>
    </row>
    <row r="57" spans="1:3" x14ac:dyDescent="0.25">
      <c r="A57" t="s">
        <v>58</v>
      </c>
      <c r="B57" s="9" t="s">
        <v>188</v>
      </c>
      <c r="C57" s="9" t="s">
        <v>347</v>
      </c>
    </row>
    <row r="58" spans="1:3" x14ac:dyDescent="0.25">
      <c r="A58" t="s">
        <v>59</v>
      </c>
      <c r="B58" s="9" t="s">
        <v>189</v>
      </c>
      <c r="C58" s="9" t="s">
        <v>350</v>
      </c>
    </row>
    <row r="59" spans="1:3" x14ac:dyDescent="0.25">
      <c r="A59" t="s">
        <v>60</v>
      </c>
      <c r="B59" s="9" t="s">
        <v>190</v>
      </c>
      <c r="C59" s="9" t="s">
        <v>350</v>
      </c>
    </row>
    <row r="60" spans="1:3" x14ac:dyDescent="0.25">
      <c r="A60" t="s">
        <v>61</v>
      </c>
      <c r="B60" s="9" t="s">
        <v>191</v>
      </c>
      <c r="C60" s="9" t="s">
        <v>347</v>
      </c>
    </row>
    <row r="61" spans="1:3" x14ac:dyDescent="0.25">
      <c r="A61" t="s">
        <v>62</v>
      </c>
      <c r="B61" s="9" t="s">
        <v>192</v>
      </c>
      <c r="C61" s="9" t="s">
        <v>350</v>
      </c>
    </row>
    <row r="62" spans="1:3" x14ac:dyDescent="0.25">
      <c r="A62" t="s">
        <v>63</v>
      </c>
      <c r="B62" s="9" t="s">
        <v>193</v>
      </c>
      <c r="C62" s="9" t="s">
        <v>350</v>
      </c>
    </row>
    <row r="63" spans="1:3" x14ac:dyDescent="0.25">
      <c r="A63" t="s">
        <v>64</v>
      </c>
      <c r="B63" s="9" t="s">
        <v>194</v>
      </c>
      <c r="C63" s="9" t="s">
        <v>350</v>
      </c>
    </row>
    <row r="64" spans="1:3" x14ac:dyDescent="0.25">
      <c r="A64" t="s">
        <v>65</v>
      </c>
      <c r="B64" s="9" t="s">
        <v>195</v>
      </c>
      <c r="C64" s="9" t="s">
        <v>350</v>
      </c>
    </row>
    <row r="65" spans="1:3" x14ac:dyDescent="0.25">
      <c r="A65" t="s">
        <v>66</v>
      </c>
      <c r="B65" s="9" t="s">
        <v>196</v>
      </c>
      <c r="C65" s="9" t="s">
        <v>347</v>
      </c>
    </row>
    <row r="66" spans="1:3" x14ac:dyDescent="0.25">
      <c r="A66" t="s">
        <v>67</v>
      </c>
      <c r="B66" s="9" t="s">
        <v>197</v>
      </c>
      <c r="C66" s="9" t="s">
        <v>348</v>
      </c>
    </row>
    <row r="67" spans="1:3" x14ac:dyDescent="0.25">
      <c r="A67" t="s">
        <v>68</v>
      </c>
      <c r="B67" s="9" t="s">
        <v>198</v>
      </c>
      <c r="C67" s="9" t="s">
        <v>348</v>
      </c>
    </row>
    <row r="68" spans="1:3" x14ac:dyDescent="0.25">
      <c r="A68" t="s">
        <v>69</v>
      </c>
      <c r="B68" s="9" t="s">
        <v>199</v>
      </c>
      <c r="C68" s="9" t="s">
        <v>348</v>
      </c>
    </row>
    <row r="69" spans="1:3" x14ac:dyDescent="0.25">
      <c r="A69" t="s">
        <v>70</v>
      </c>
      <c r="B69" s="9" t="s">
        <v>200</v>
      </c>
      <c r="C69" s="9" t="s">
        <v>348</v>
      </c>
    </row>
    <row r="70" spans="1:3" x14ac:dyDescent="0.25">
      <c r="A70" t="s">
        <v>71</v>
      </c>
      <c r="B70" s="9" t="s">
        <v>201</v>
      </c>
      <c r="C70" s="9" t="s">
        <v>348</v>
      </c>
    </row>
    <row r="71" spans="1:3" x14ac:dyDescent="0.25">
      <c r="A71" t="s">
        <v>72</v>
      </c>
      <c r="B71" s="9" t="s">
        <v>202</v>
      </c>
      <c r="C71" s="9" t="s">
        <v>348</v>
      </c>
    </row>
    <row r="72" spans="1:3" x14ac:dyDescent="0.25">
      <c r="A72" t="s">
        <v>73</v>
      </c>
      <c r="B72" s="9" t="s">
        <v>203</v>
      </c>
      <c r="C72" s="9" t="s">
        <v>348</v>
      </c>
    </row>
    <row r="73" spans="1:3" x14ac:dyDescent="0.25">
      <c r="A73" t="s">
        <v>74</v>
      </c>
      <c r="B73" s="9" t="s">
        <v>204</v>
      </c>
      <c r="C73" s="9" t="s">
        <v>348</v>
      </c>
    </row>
    <row r="74" spans="1:3" x14ac:dyDescent="0.25">
      <c r="A74" t="s">
        <v>75</v>
      </c>
      <c r="B74" s="9" t="s">
        <v>205</v>
      </c>
      <c r="C74" s="9" t="s">
        <v>348</v>
      </c>
    </row>
    <row r="75" spans="1:3" x14ac:dyDescent="0.25">
      <c r="A75" t="s">
        <v>76</v>
      </c>
      <c r="B75" s="9" t="s">
        <v>206</v>
      </c>
      <c r="C75" s="9" t="s">
        <v>349</v>
      </c>
    </row>
    <row r="76" spans="1:3" x14ac:dyDescent="0.25">
      <c r="A76" t="s">
        <v>77</v>
      </c>
      <c r="B76" s="9" t="s">
        <v>207</v>
      </c>
      <c r="C76" s="9" t="s">
        <v>346</v>
      </c>
    </row>
    <row r="77" spans="1:3" x14ac:dyDescent="0.25">
      <c r="A77" t="s">
        <v>78</v>
      </c>
      <c r="B77" s="9" t="s">
        <v>208</v>
      </c>
      <c r="C77" s="9" t="s">
        <v>346</v>
      </c>
    </row>
    <row r="78" spans="1:3" x14ac:dyDescent="0.25">
      <c r="A78" t="s">
        <v>79</v>
      </c>
      <c r="B78" s="9" t="s">
        <v>184</v>
      </c>
      <c r="C78" s="9" t="s">
        <v>348</v>
      </c>
    </row>
    <row r="79" spans="1:3" x14ac:dyDescent="0.25">
      <c r="A79" t="s">
        <v>80</v>
      </c>
      <c r="B79" s="9" t="s">
        <v>209</v>
      </c>
      <c r="C79" s="9" t="s">
        <v>347</v>
      </c>
    </row>
    <row r="80" spans="1:3" x14ac:dyDescent="0.25">
      <c r="A80" t="s">
        <v>81</v>
      </c>
      <c r="B80" s="9" t="s">
        <v>210</v>
      </c>
      <c r="C80" s="9" t="s">
        <v>347</v>
      </c>
    </row>
    <row r="81" spans="1:3" x14ac:dyDescent="0.25">
      <c r="A81" t="s">
        <v>82</v>
      </c>
      <c r="B81" s="9" t="s">
        <v>211</v>
      </c>
      <c r="C81" s="9" t="s">
        <v>347</v>
      </c>
    </row>
    <row r="82" spans="1:3" x14ac:dyDescent="0.25">
      <c r="A82" t="s">
        <v>83</v>
      </c>
      <c r="B82" s="9" t="s">
        <v>212</v>
      </c>
      <c r="C82" s="9" t="s">
        <v>352</v>
      </c>
    </row>
    <row r="83" spans="1:3" x14ac:dyDescent="0.25">
      <c r="A83" t="s">
        <v>84</v>
      </c>
      <c r="B83" s="9" t="s">
        <v>154</v>
      </c>
      <c r="C83" s="9" t="s">
        <v>348</v>
      </c>
    </row>
    <row r="84" spans="1:3" x14ac:dyDescent="0.25">
      <c r="A84" t="s">
        <v>85</v>
      </c>
      <c r="B84" s="9" t="s">
        <v>213</v>
      </c>
      <c r="C84" s="9" t="s">
        <v>346</v>
      </c>
    </row>
    <row r="85" spans="1:3" x14ac:dyDescent="0.25">
      <c r="A85" t="s">
        <v>86</v>
      </c>
      <c r="B85" s="9" t="s">
        <v>214</v>
      </c>
      <c r="C85" s="9" t="s">
        <v>350</v>
      </c>
    </row>
    <row r="86" spans="1:3" x14ac:dyDescent="0.25">
      <c r="A86" t="s">
        <v>87</v>
      </c>
      <c r="B86" s="9" t="s">
        <v>215</v>
      </c>
      <c r="C86" s="9" t="s">
        <v>349</v>
      </c>
    </row>
    <row r="87" spans="1:3" x14ac:dyDescent="0.25">
      <c r="A87" t="s">
        <v>88</v>
      </c>
      <c r="B87" s="9" t="s">
        <v>216</v>
      </c>
      <c r="C87" s="9" t="s">
        <v>347</v>
      </c>
    </row>
    <row r="88" spans="1:3" x14ac:dyDescent="0.25">
      <c r="A88" t="s">
        <v>89</v>
      </c>
      <c r="B88" s="9" t="s">
        <v>217</v>
      </c>
      <c r="C88" s="9" t="s">
        <v>346</v>
      </c>
    </row>
    <row r="89" spans="1:3" x14ac:dyDescent="0.25">
      <c r="A89" t="s">
        <v>90</v>
      </c>
      <c r="B89" s="9" t="s">
        <v>154</v>
      </c>
      <c r="C89" s="9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litter_sand</vt:lpstr>
      <vt:lpstr>litter_underwater</vt:lpstr>
      <vt:lpstr>brand_audit</vt:lpstr>
      <vt:lpstr>UNEP_cat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Ramos Bruna</cp:lastModifiedBy>
  <dcterms:created xsi:type="dcterms:W3CDTF">2022-11-30T17:22:35Z</dcterms:created>
  <dcterms:modified xsi:type="dcterms:W3CDTF">2025-03-27T14:04:27Z</dcterms:modified>
</cp:coreProperties>
</file>